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673X-10G\"/>
    </mc:Choice>
  </mc:AlternateContent>
  <xr:revisionPtr revIDLastSave="0" documentId="13_ncr:1_{3693EE34-DBF7-4B49-B6AA-7878995B9465}" xr6:coauthVersionLast="47" xr6:coauthVersionMax="47" xr10:uidLastSave="{00000000-0000-0000-0000-000000000000}"/>
  <bookViews>
    <workbookView xWindow="13320" yWindow="2595" windowWidth="13995" windowHeight="9465" xr2:uid="{00000000-000D-0000-FFFF-FFFF00000000}"/>
  </bookViews>
  <sheets>
    <sheet name="Page1" sheetId="1" r:id="rId1"/>
  </sheets>
  <definedNames>
    <definedName name="_xlnm.Print_Area" localSheetId="0">Page1!$A$1:$AH$80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29" i="1" l="1"/>
  <c r="AN29" i="1" s="1"/>
  <c r="AL28" i="1"/>
  <c r="AN28" i="1" s="1"/>
  <c r="AL27" i="1"/>
  <c r="AN27" i="1" s="1"/>
  <c r="AL26" i="1"/>
  <c r="AM26" i="1" s="1"/>
  <c r="AL25" i="1"/>
  <c r="AN25" i="1" s="1"/>
  <c r="AL24" i="1"/>
  <c r="AN24" i="1" s="1"/>
  <c r="AL23" i="1"/>
  <c r="AM23" i="1" s="1"/>
  <c r="AL22" i="1"/>
  <c r="AN22" i="1" s="1"/>
  <c r="AL21" i="1"/>
  <c r="AN21" i="1" s="1"/>
  <c r="AL20" i="1"/>
  <c r="AN20" i="1" s="1"/>
  <c r="AL19" i="1"/>
  <c r="AM19" i="1" s="1"/>
  <c r="AL18" i="1"/>
  <c r="AM18" i="1" s="1"/>
  <c r="AL17" i="1"/>
  <c r="AN17" i="1" s="1"/>
  <c r="AL16" i="1"/>
  <c r="AN16" i="1" s="1"/>
  <c r="AL15" i="1"/>
  <c r="AM15" i="1" s="1"/>
  <c r="AL14" i="1"/>
  <c r="AN14" i="1" s="1"/>
  <c r="AL13" i="1"/>
  <c r="AN13" i="1" s="1"/>
  <c r="AL12" i="1"/>
  <c r="AN12" i="1" s="1"/>
  <c r="AN26" i="1" l="1"/>
  <c r="AM14" i="1"/>
  <c r="AM27" i="1"/>
  <c r="AN15" i="1"/>
  <c r="AN19" i="1"/>
  <c r="AN23" i="1"/>
  <c r="AN18" i="1"/>
  <c r="AM12" i="1"/>
  <c r="AM16" i="1"/>
  <c r="AM20" i="1"/>
  <c r="AM24" i="1"/>
  <c r="AM28" i="1"/>
  <c r="AM22" i="1"/>
  <c r="AM13" i="1"/>
  <c r="AM17" i="1"/>
  <c r="AM21" i="1"/>
  <c r="AM25" i="1"/>
  <c r="AM29" i="1"/>
</calcChain>
</file>

<file path=xl/sharedStrings.xml><?xml version="1.0" encoding="utf-8"?>
<sst xmlns="http://schemas.openxmlformats.org/spreadsheetml/2006/main" count="186" uniqueCount="101">
  <si>
    <t>奇 胜 阀 门 有 限 公 司</t>
  </si>
  <si>
    <t>购销合同</t>
  </si>
  <si>
    <t>甲方（供方）：奇胜阀门有限公司</t>
  </si>
  <si>
    <t>合同签订地：温州市龙湾区</t>
  </si>
  <si>
    <t>依据《中华人民共和国民法典》之规定，甲、乙双方经充分协商，本着平等互利原则，就购销事宜达成如下协议：</t>
  </si>
  <si>
    <t>1、品名、规格、数量、价格、总额</t>
  </si>
  <si>
    <t>DN80</t>
  </si>
  <si>
    <t/>
  </si>
  <si>
    <t>税额（元）：</t>
  </si>
  <si>
    <t>税率：13%</t>
  </si>
  <si>
    <t>2、产品质量保质期：</t>
  </si>
  <si>
    <t>自出厂之日起十二个月</t>
  </si>
  <si>
    <t>3、产品设计及检验标准按国标：</t>
  </si>
  <si>
    <t>按GZ35430401通用阀门140-2007及JB/T8691-2013（对夹式刀形闸阀）标准验收</t>
  </si>
  <si>
    <t>4、交（提）货方式及时间：</t>
  </si>
  <si>
    <t>5、产品包装要求：</t>
  </si>
  <si>
    <t>国内木箱</t>
  </si>
  <si>
    <t>6、使用介质：</t>
  </si>
  <si>
    <t>使用温度：</t>
  </si>
  <si>
    <t>7、运输方式及到达港和费用负担：</t>
  </si>
  <si>
    <t>供方负责代办，送货到需方工厂或指定点，运输费用需方承担</t>
  </si>
  <si>
    <t>8、结算方式：</t>
  </si>
  <si>
    <t>9、产品验收：</t>
  </si>
  <si>
    <t>10、提出异议期限：</t>
  </si>
  <si>
    <t>11、违约责任：</t>
  </si>
  <si>
    <t>12、争议的解决：</t>
  </si>
  <si>
    <t>13、生效条款：本合同一式两份，甲乙双方各执一份，自双方签字盖章之日起生效</t>
  </si>
  <si>
    <t>14、其他约定事项：附产品总装图一份仅供参考，材质等特别要求在合同上注明。</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</si>
  <si>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</si>
  <si>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</si>
  <si>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</si>
  <si>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</si>
  <si>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</si>
  <si>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</si>
  <si>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</si>
  <si>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</si>
  <si>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</si>
  <si>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</si>
  <si>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</si>
  <si>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</si>
  <si>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</si>
  <si>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</si>
  <si>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</si>
  <si>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</si>
  <si>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</si>
  <si>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</si>
  <si>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4" type="noConversion"/>
  </si>
  <si>
    <r>
      <t>合同编号：</t>
    </r>
    <r>
      <rPr>
        <sz val="8"/>
        <color rgb="FFFF0000"/>
        <rFont val="宋体"/>
        <family val="3"/>
        <charset val="134"/>
      </rPr>
      <t>XXXXXXXX</t>
    </r>
    <phoneticPr fontId="14"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</si>
  <si>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4" type="noConversion"/>
  </si>
  <si>
    <t>本合同履行过程发生争议的，由双方友好解决，协商不成时可向温州市龙湾区人民法院提起民事诉讼</t>
    <phoneticPr fontId="14" type="noConversion"/>
  </si>
  <si>
    <t>货到三天内提出异议，如果执行器为本公司配置，在保质期内会进行售后服务。</t>
    <phoneticPr fontId="14" type="noConversion"/>
  </si>
  <si>
    <t>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4" type="noConversion"/>
  </si>
  <si>
    <t>含增值税发票，合同签订3日内支付30%定金，余款付清后发货；此价为现金价，承兑另收1%费用，乙方付清余款之前，甲方保留对合同产品的所有权。</t>
    <phoneticPr fontId="14" type="noConversion"/>
  </si>
  <si>
    <t>使用压力：</t>
    <phoneticPr fontId="14" type="noConversion"/>
  </si>
  <si>
    <r>
      <t>电话：</t>
    </r>
    <r>
      <rPr>
        <sz val="8"/>
        <color rgb="FFFF0000"/>
        <rFont val="宋体"/>
        <family val="3"/>
        <charset val="134"/>
      </rPr>
      <t>XXXXXXX</t>
    </r>
    <phoneticPr fontId="14" type="noConversion"/>
  </si>
  <si>
    <r>
      <t>委托代理人：</t>
    </r>
    <r>
      <rPr>
        <sz val="8"/>
        <color rgb="FFFF0000"/>
        <rFont val="宋体"/>
        <family val="3"/>
        <charset val="134"/>
      </rPr>
      <t>XXXXX</t>
    </r>
    <phoneticPr fontId="14" type="noConversion"/>
  </si>
  <si>
    <r>
      <t>单位地址：</t>
    </r>
    <r>
      <rPr>
        <sz val="8"/>
        <color rgb="FFFF0000"/>
        <rFont val="宋体"/>
        <family val="3"/>
        <charset val="134"/>
      </rPr>
      <t>XXXXXXXX</t>
    </r>
    <phoneticPr fontId="14" type="noConversion"/>
  </si>
  <si>
    <r>
      <t>单位名称（章）：</t>
    </r>
    <r>
      <rPr>
        <sz val="8"/>
        <color rgb="FFFF0000"/>
        <rFont val="宋体"/>
        <family val="3"/>
        <charset val="134"/>
      </rPr>
      <t>XXXXXXXXXXX</t>
    </r>
    <phoneticPr fontId="14" type="noConversion"/>
  </si>
  <si>
    <r>
      <t>DN</t>
    </r>
    <r>
      <rPr>
        <sz val="8"/>
        <color rgb="FF000000"/>
        <rFont val="宋体"/>
        <family val="3"/>
        <charset val="134"/>
      </rPr>
      <t>50</t>
    </r>
    <phoneticPr fontId="14" type="noConversion"/>
  </si>
  <si>
    <r>
      <t>DN</t>
    </r>
    <r>
      <rPr>
        <sz val="8"/>
        <color rgb="FF000000"/>
        <rFont val="宋体"/>
        <family val="3"/>
        <charset val="134"/>
      </rPr>
      <t>65</t>
    </r>
    <phoneticPr fontId="14" type="noConversion"/>
  </si>
  <si>
    <r>
      <t>DN</t>
    </r>
    <r>
      <rPr>
        <sz val="8"/>
        <color rgb="FF000000"/>
        <rFont val="宋体"/>
        <family val="3"/>
        <charset val="134"/>
      </rPr>
      <t>100</t>
    </r>
    <phoneticPr fontId="14" type="noConversion"/>
  </si>
  <si>
    <r>
      <t>DN</t>
    </r>
    <r>
      <rPr>
        <sz val="8"/>
        <color rgb="FF000000"/>
        <rFont val="宋体"/>
        <family val="3"/>
        <charset val="134"/>
      </rPr>
      <t>125</t>
    </r>
    <phoneticPr fontId="14" type="noConversion"/>
  </si>
  <si>
    <t>DN150</t>
    <phoneticPr fontId="14" type="noConversion"/>
  </si>
  <si>
    <t>DN200</t>
    <phoneticPr fontId="14" type="noConversion"/>
  </si>
  <si>
    <t>DN250</t>
    <phoneticPr fontId="14" type="noConversion"/>
  </si>
  <si>
    <t>DN300</t>
    <phoneticPr fontId="14" type="noConversion"/>
  </si>
  <si>
    <t>DN350</t>
    <phoneticPr fontId="14" type="noConversion"/>
  </si>
  <si>
    <t>DN400</t>
    <phoneticPr fontId="14" type="noConversion"/>
  </si>
  <si>
    <r>
      <t>G</t>
    </r>
    <r>
      <rPr>
        <sz val="8"/>
        <color rgb="FF000000"/>
        <rFont val="宋体"/>
        <family val="3"/>
        <charset val="134"/>
      </rPr>
      <t>GG40</t>
    </r>
    <phoneticPr fontId="14" type="noConversion"/>
  </si>
  <si>
    <t>XXXXXXXXXXXXX</t>
    <phoneticPr fontId="14" type="noConversion"/>
  </si>
  <si>
    <t>DN450</t>
    <phoneticPr fontId="14" type="noConversion"/>
  </si>
  <si>
    <t>DN500</t>
    <phoneticPr fontId="14" type="noConversion"/>
  </si>
  <si>
    <t>DN600</t>
    <phoneticPr fontId="14" type="noConversion"/>
  </si>
  <si>
    <t>DN700</t>
    <phoneticPr fontId="14" type="noConversion"/>
  </si>
  <si>
    <t>DN800</t>
    <phoneticPr fontId="14" type="noConversion"/>
  </si>
  <si>
    <t>DN900</t>
    <phoneticPr fontId="14" type="noConversion"/>
  </si>
  <si>
    <t>DN1000</t>
    <phoneticPr fontId="14" type="noConversion"/>
  </si>
  <si>
    <t>备注：本合同约定的不含税金额，不因国家税率的变化而变化，在合同履行期间，如因国家税率调整，则含税单价做相应调整，开具发票时的税率为准！</t>
    <phoneticPr fontId="14" type="noConversion"/>
  </si>
  <si>
    <t>QUZ673X-10G</t>
    <phoneticPr fontId="14" type="noConversion"/>
  </si>
  <si>
    <t>单向气动刀闸阀</t>
    <phoneticPr fontId="14" type="noConversion"/>
  </si>
  <si>
    <t>体GGG40。板304，橡胶密封单向密封，含双作用气缸，不含三联件，法兰按PN10，实际工作压力50-200的10kg,250-400的7kg,，450-600的5kg,700-1000的2kg,</t>
    <phoneticPr fontId="14" type="noConversion"/>
  </si>
  <si>
    <t>不含税金额（元）：</t>
    <phoneticPr fontId="14" type="noConversion"/>
  </si>
  <si>
    <t>价税合计（小写）：元</t>
    <phoneticPr fontId="14" type="noConversion"/>
  </si>
  <si>
    <t>价税合计（大写）：</t>
    <phoneticPr fontId="14" type="noConversion"/>
  </si>
  <si>
    <r>
      <t>签订日期：</t>
    </r>
    <r>
      <rPr>
        <sz val="8"/>
        <color rgb="FFFF0000"/>
        <rFont val="宋体"/>
        <family val="3"/>
        <charset val="134"/>
      </rPr>
      <t>2026年  月  日</t>
    </r>
    <phoneticPr fontId="14"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</si>
  <si>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4" type="noConversion"/>
  </si>
  <si>
    <t>X</t>
    <phoneticPr fontId="14" type="noConversion"/>
  </si>
  <si>
    <t>无</t>
    <phoneticPr fontId="14" type="noConversion"/>
  </si>
  <si>
    <t>产品名称 product name</t>
    <phoneticPr fontId="14" type="noConversion"/>
  </si>
  <si>
    <t>型号 model</t>
    <phoneticPr fontId="14" type="noConversion"/>
  </si>
  <si>
    <t>规格specification</t>
    <phoneticPr fontId="14" type="noConversion"/>
  </si>
  <si>
    <t>材质 texture</t>
    <phoneticPr fontId="14" type="noConversion"/>
  </si>
  <si>
    <t>密封面Sealing Face</t>
    <phoneticPr fontId="14" type="noConversion"/>
  </si>
  <si>
    <t>商标Trademark</t>
    <phoneticPr fontId="14" type="noConversion"/>
  </si>
  <si>
    <t>A起订量MOQ/pcs</t>
    <phoneticPr fontId="14" type="noConversion"/>
  </si>
  <si>
    <t>单价      Unit Price≥A</t>
    <phoneticPr fontId="14" type="noConversion"/>
  </si>
  <si>
    <t>单价    Unit Price＜A</t>
    <phoneticPr fontId="14" type="noConversion"/>
  </si>
  <si>
    <t>最高承压    Max
Pressure（BAR）</t>
    <phoneticPr fontId="14" type="noConversion"/>
  </si>
  <si>
    <t>单重     Unit
Weight（KG）</t>
    <phoneticPr fontId="14" type="noConversion"/>
  </si>
  <si>
    <t>扭矩Torque (N.M)</t>
    <phoneticPr fontId="14" type="noConversion"/>
  </si>
  <si>
    <t>木箱尺寸Case Size（CM）</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</si>
</sst>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0000_ "/>
    <numFmt numFmtId="177"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u/>
      <sz val="8"/>
      <color rgb="FF000000"/>
      <name val="宋体"/>
      <family val="3"/>
      <charset val="134"/>
    </font>
    <font>
      <sz val="8"/>
      <color rgb="FF000000"/>
      <name val="宋体"/>
      <family val="3"/>
      <charset val="134"/>
    </font>
    <font>
      <sz val="8"/>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8"/>
      <color theme="1"/>
      <name val="宋体"/>
      <family val="3"/>
      <charset val="134"/>
    </font>
    <font>
      <sz val="8"/>
      <name val="宋体"/>
      <family val="3"/>
      <charset val="134"/>
    </font>
    <font>
      <sz val="9"/>
      <color rgb="FFFF0000"/>
      <name val="宋体"/>
      <family val="3"/>
      <charset val="134"/>
    </font>
    <font>
      <sz val="9"/>
      <color rgb="FF000000"/>
      <name val="宋体"/>
      <family val="3"/>
      <charset val="134"/>
    </font>
    <font>
      <sz val="9"/>
      <name val="宋体"/>
      <family val="3"/>
      <charset val="134"/>
      <scheme val="minor"/>
    </font>
    <font>
      <sz val="9"/>
      <color theme="1"/>
      <name val="宋体"/>
      <family val="3"/>
      <charset val="134"/>
      <scheme val="minor"/>
    </font>
    <font>
      <b/>
      <sz val="8"/>
      <color rgb="FF000000"/>
      <name val="宋体"/>
      <family val="3"/>
      <charset val="134"/>
    </font>
    <font>
      <b/>
      <sz val="8"/>
      <color theme="1"/>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s>
  <cellStyleXfs count="1">
    <xf numFmtId="0" fontId="0" fillId="0" borderId="0"/>
  </cellStyleXfs>
  <cellXfs count="61">
    <xf numFmtId="0" fontId="0" fillId="2" borderId="0" xfId="0" applyFill="1" applyAlignment="1">
      <alignment horizontal="left" vertical="top" wrapText="1"/>
    </xf>
    <xf numFmtId="0" fontId="10" fillId="12" borderId="10" xfId="0" applyFont="1" applyFill="1" applyBorder="1" applyAlignment="1">
      <alignment horizontal="left" vertical="center" wrapText="1"/>
    </xf>
    <xf numFmtId="0" fontId="17" fillId="16" borderId="15" xfId="0" applyFont="1" applyFill="1" applyBorder="1" applyAlignment="1">
      <alignment horizontal="center" vertical="center"/>
    </xf>
    <xf numFmtId="4" fontId="0" fillId="2" borderId="0" xfId="0" applyNumberFormat="1" applyFill="1" applyAlignment="1">
      <alignment horizontal="left" vertical="top" wrapText="1"/>
    </xf>
    <xf numFmtId="176" fontId="0" fillId="2" borderId="0" xfId="0" applyNumberFormat="1" applyFill="1" applyAlignment="1">
      <alignment horizontal="left" vertical="top" wrapText="1"/>
    </xf>
    <xf numFmtId="0" fontId="0" fillId="2" borderId="0" xfId="0" applyFill="1" applyAlignment="1">
      <alignment horizontal="left" vertical="top" wrapText="1"/>
    </xf>
    <xf numFmtId="0" fontId="18" fillId="16" borderId="12" xfId="0" applyFont="1" applyFill="1" applyBorder="1" applyAlignment="1">
      <alignment horizontal="center" vertical="center" wrapText="1"/>
    </xf>
    <xf numFmtId="177" fontId="17" fillId="16" borderId="16" xfId="0" applyNumberFormat="1" applyFont="1" applyFill="1" applyBorder="1" applyAlignment="1">
      <alignment horizontal="center" vertical="center"/>
    </xf>
    <xf numFmtId="0" fontId="0" fillId="2" borderId="12" xfId="0" applyFill="1" applyBorder="1" applyAlignment="1">
      <alignment horizontal="center" vertical="top" wrapText="1"/>
    </xf>
    <xf numFmtId="0" fontId="0" fillId="0" borderId="0" xfId="0" applyFill="1" applyAlignment="1">
      <alignment horizontal="left" vertical="top" wrapText="1"/>
    </xf>
    <xf numFmtId="0" fontId="19" fillId="0" borderId="0" xfId="0" applyFont="1" applyFill="1" applyAlignment="1">
      <alignment horizontal="left" vertical="top" wrapText="1"/>
    </xf>
    <xf numFmtId="0" fontId="0" fillId="2" borderId="0" xfId="0" applyFill="1" applyAlignment="1">
      <alignment horizontal="left" vertical="top" wrapText="1"/>
    </xf>
    <xf numFmtId="0" fontId="3" fillId="5" borderId="14"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11" fillId="13" borderId="14" xfId="0" applyFont="1" applyFill="1" applyBorder="1" applyAlignment="1">
      <alignment horizontal="left" vertical="center" wrapText="1"/>
    </xf>
    <xf numFmtId="0" fontId="13" fillId="15" borderId="14" xfId="0" applyFont="1" applyFill="1" applyBorder="1" applyAlignment="1">
      <alignment horizontal="left" vertical="top" wrapText="1"/>
    </xf>
    <xf numFmtId="0" fontId="0" fillId="2" borderId="0" xfId="0" applyFill="1" applyAlignment="1">
      <alignment horizontal="left" vertical="top" wrapText="1"/>
    </xf>
    <xf numFmtId="0" fontId="2" fillId="15" borderId="12" xfId="0" applyFont="1" applyFill="1" applyBorder="1" applyAlignment="1">
      <alignment horizontal="center" vertical="center" wrapText="1"/>
    </xf>
    <xf numFmtId="0" fontId="21" fillId="16" borderId="12" xfId="0" applyNumberFormat="1" applyFont="1" applyFill="1" applyBorder="1" applyAlignment="1">
      <alignment horizontal="center" vertical="center"/>
    </xf>
    <xf numFmtId="0" fontId="22" fillId="16" borderId="12" xfId="0" applyNumberFormat="1" applyFont="1" applyFill="1" applyBorder="1" applyAlignment="1">
      <alignment horizontal="center" vertical="center"/>
    </xf>
    <xf numFmtId="0" fontId="20" fillId="15" borderId="12"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0" fillId="2" borderId="0" xfId="0" applyFill="1" applyAlignment="1">
      <alignment horizontal="left" vertical="top" wrapText="1"/>
    </xf>
    <xf numFmtId="0" fontId="1"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2" fillId="9" borderId="7" xfId="0" applyFont="1" applyFill="1" applyBorder="1" applyAlignment="1">
      <alignment horizontal="left" vertical="center" wrapText="1"/>
    </xf>
    <xf numFmtId="0" fontId="7" fillId="9" borderId="7"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0" fillId="12" borderId="10"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14" xfId="0" applyFont="1" applyFill="1" applyBorder="1" applyAlignment="1">
      <alignment horizontal="left" vertical="center" wrapText="1"/>
    </xf>
    <xf numFmtId="39" fontId="2" fillId="11" borderId="9" xfId="0" applyNumberFormat="1" applyFont="1" applyFill="1" applyBorder="1" applyAlignment="1">
      <alignment horizontal="left" vertical="center" wrapText="1"/>
    </xf>
    <xf numFmtId="39" fontId="9" fillId="11" borderId="9" xfId="0" applyNumberFormat="1" applyFont="1" applyFill="1" applyBorder="1" applyAlignment="1">
      <alignment horizontal="left" vertical="center" wrapText="1"/>
    </xf>
    <xf numFmtId="39" fontId="6" fillId="8" borderId="6" xfId="0" applyNumberFormat="1" applyFont="1" applyFill="1" applyBorder="1" applyAlignment="1">
      <alignment horizontal="center" vertical="center" wrapText="1"/>
    </xf>
    <xf numFmtId="37" fontId="2" fillId="10" borderId="8" xfId="0" applyNumberFormat="1" applyFont="1" applyFill="1" applyBorder="1" applyAlignment="1">
      <alignment horizontal="left" vertical="center" wrapText="1"/>
    </xf>
    <xf numFmtId="37" fontId="8" fillId="10" borderId="8" xfId="0" applyNumberFormat="1" applyFont="1" applyFill="1" applyBorder="1" applyAlignment="1">
      <alignment horizontal="left" vertical="center" wrapText="1"/>
    </xf>
    <xf numFmtId="37" fontId="8" fillId="10" borderId="12" xfId="0" applyNumberFormat="1" applyFont="1" applyFill="1" applyBorder="1" applyAlignment="1">
      <alignment horizontal="left" vertical="center" wrapText="1"/>
    </xf>
    <xf numFmtId="0" fontId="16" fillId="13" borderId="11" xfId="0" applyFont="1" applyFill="1" applyBorder="1" applyAlignment="1">
      <alignment horizontal="left" vertical="center" wrapText="1"/>
    </xf>
    <xf numFmtId="0" fontId="11" fillId="13" borderId="11" xfId="0" applyFont="1" applyFill="1" applyBorder="1" applyAlignment="1">
      <alignment horizontal="left" vertical="center" wrapText="1"/>
    </xf>
    <xf numFmtId="0" fontId="11" fillId="13" borderId="14" xfId="0" applyFont="1" applyFill="1" applyBorder="1" applyAlignment="1">
      <alignment horizontal="left" vertical="center" wrapText="1"/>
    </xf>
    <xf numFmtId="0" fontId="13" fillId="15" borderId="13" xfId="0" applyFont="1" applyFill="1" applyBorder="1" applyAlignment="1">
      <alignment horizontal="left" vertical="top" wrapText="1"/>
    </xf>
    <xf numFmtId="0" fontId="13" fillId="15" borderId="14" xfId="0" applyFont="1" applyFill="1" applyBorder="1" applyAlignment="1">
      <alignment horizontal="left" vertical="top" wrapText="1"/>
    </xf>
    <xf numFmtId="0" fontId="2" fillId="14" borderId="12" xfId="0" applyFont="1" applyFill="1" applyBorder="1" applyAlignment="1">
      <alignment horizontal="left" vertical="center" wrapText="1"/>
    </xf>
    <xf numFmtId="0" fontId="12" fillId="14" borderId="12" xfId="0" applyFont="1" applyFill="1" applyBorder="1" applyAlignment="1">
      <alignment horizontal="left" vertical="center" wrapText="1"/>
    </xf>
    <xf numFmtId="0" fontId="15" fillId="15" borderId="13" xfId="0" applyFont="1" applyFill="1" applyBorder="1" applyAlignment="1">
      <alignment horizontal="left" vertical="top" wrapText="1"/>
    </xf>
    <xf numFmtId="0" fontId="5" fillId="7" borderId="12" xfId="0" applyFont="1" applyFill="1" applyBorder="1" applyAlignment="1">
      <alignment horizontal="center" vertical="center" wrapText="1"/>
    </xf>
    <xf numFmtId="0" fontId="23" fillId="15" borderId="12" xfId="0" applyFont="1" applyFill="1" applyBorder="1" applyAlignment="1">
      <alignment horizontal="center" vertical="center"/>
    </xf>
    <xf numFmtId="0" fontId="23" fillId="15" borderId="12" xfId="0" applyFont="1" applyFill="1" applyBorder="1" applyAlignment="1">
      <alignment horizontal="center" vertical="center" wrapText="1"/>
    </xf>
    <xf numFmtId="0" fontId="23" fillId="15" borderId="17" xfId="0" applyFont="1" applyFill="1" applyBorder="1" applyAlignment="1">
      <alignment horizontal="center" vertical="center" wrapText="1"/>
    </xf>
    <xf numFmtId="0" fontId="23" fillId="15" borderId="18" xfId="0" applyFont="1" applyFill="1" applyBorder="1" applyAlignment="1">
      <alignment horizontal="center" vertical="center" wrapText="1"/>
    </xf>
    <xf numFmtId="0" fontId="23" fillId="15" borderId="19" xfId="0" applyFont="1" applyFill="1" applyBorder="1" applyAlignment="1">
      <alignment horizontal="center" vertical="center" wrapText="1"/>
    </xf>
    <xf numFmtId="0" fontId="24" fillId="15" borderId="12" xfId="0" applyFont="1" applyFill="1" applyBorder="1" applyAlignment="1">
      <alignment horizontal="center" vertical="center" wrapText="1"/>
    </xf>
    <xf numFmtId="0" fontId="25" fillId="0" borderId="15" xfId="0" applyFont="1" applyBorder="1" applyAlignment="1">
      <alignment horizontal="center" vertical="center" wrapText="1"/>
    </xf>
    <xf numFmtId="0" fontId="25" fillId="15" borderId="15" xfId="0" applyFont="1" applyFill="1" applyBorder="1" applyAlignment="1">
      <alignment horizontal="center" vertical="center" wrapText="1"/>
    </xf>
    <xf numFmtId="0" fontId="24" fillId="15" borderId="20"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687160</xdr:colOff>
      <xdr:row>2</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8"/>
  <sheetViews>
    <sheetView tabSelected="1" topLeftCell="AD2" zoomScale="140" zoomScaleNormal="140" workbookViewId="0">
      <selection activeCell="AJ10" sqref="AJ10"/>
    </sheetView>
  </sheetViews>
  <sheetFormatPr defaultRowHeight="11.25" x14ac:dyDescent="0.15"/>
  <cols>
    <col min="1" max="1" width="3" customWidth="1"/>
    <col min="2" max="2" width="1.5" customWidth="1"/>
    <col min="3" max="3" width="12" customWidth="1"/>
    <col min="4" max="4" width="1.5" customWidth="1"/>
    <col min="5" max="5" width="0.1640625" customWidth="1"/>
    <col min="6" max="6" width="0.33203125" customWidth="1"/>
    <col min="7" max="7" width="1" customWidth="1"/>
    <col min="8" max="8" width="1.5" customWidth="1"/>
    <col min="9" max="9" width="6" customWidth="1"/>
    <col min="10" max="10" width="1.5" customWidth="1"/>
    <col min="11" max="11" width="3" customWidth="1"/>
    <col min="12" max="15" width="1.5" customWidth="1"/>
    <col min="16" max="17" width="3" customWidth="1"/>
    <col min="18" max="21" width="1.5" customWidth="1"/>
    <col min="22" max="22" width="3" customWidth="1"/>
    <col min="23" max="23" width="0.83203125" customWidth="1"/>
    <col min="24" max="24" width="6.6640625" customWidth="1"/>
    <col min="25" max="26" width="3" customWidth="1"/>
    <col min="27" max="27" width="1.5" customWidth="1"/>
    <col min="28" max="28" width="7.33203125" customWidth="1"/>
    <col min="29" max="29" width="15.5" customWidth="1"/>
    <col min="30" max="30" width="16" style="5" customWidth="1"/>
    <col min="31" max="33" width="10.1640625" style="11" customWidth="1"/>
    <col min="34" max="34" width="11" customWidth="1"/>
    <col min="35" max="35" width="5.83203125" customWidth="1"/>
    <col min="37" max="37" width="7" customWidth="1"/>
    <col min="38" max="38" width="13.33203125" bestFit="1" customWidth="1"/>
  </cols>
  <sheetData>
    <row r="1" spans="1:42" ht="27.4" customHeight="1" x14ac:dyDescent="0.15">
      <c r="B1" s="24"/>
      <c r="C1" s="24"/>
      <c r="L1" s="25" t="s">
        <v>0</v>
      </c>
      <c r="M1" s="25"/>
      <c r="N1" s="25"/>
      <c r="O1" s="25"/>
      <c r="P1" s="25"/>
      <c r="Q1" s="25"/>
      <c r="R1" s="25"/>
      <c r="S1" s="25"/>
      <c r="T1" s="25"/>
      <c r="U1" s="25"/>
      <c r="V1" s="25"/>
      <c r="W1" s="25"/>
      <c r="X1" s="25"/>
      <c r="Y1" s="25"/>
      <c r="Z1" s="25"/>
      <c r="AA1" s="25"/>
      <c r="AB1" s="25"/>
    </row>
    <row r="2" spans="1:42" ht="13.7" customHeight="1" x14ac:dyDescent="0.15">
      <c r="B2" s="24"/>
      <c r="C2" s="24"/>
      <c r="U2" s="26" t="s">
        <v>1</v>
      </c>
      <c r="V2" s="26"/>
      <c r="W2" s="26"/>
      <c r="X2" s="26"/>
      <c r="Y2" s="26"/>
      <c r="Z2" s="26"/>
    </row>
    <row r="3" spans="1:42" ht="4.3499999999999996" customHeight="1" x14ac:dyDescent="0.15">
      <c r="U3" s="26"/>
      <c r="V3" s="26"/>
      <c r="W3" s="26"/>
      <c r="X3" s="26"/>
      <c r="Y3" s="26"/>
      <c r="Z3" s="26"/>
    </row>
    <row r="4" spans="1:42" ht="2.65" customHeight="1" x14ac:dyDescent="0.15">
      <c r="A4" s="27" t="s">
        <v>2</v>
      </c>
      <c r="B4" s="27"/>
      <c r="C4" s="27"/>
      <c r="D4" s="27"/>
      <c r="E4" s="27"/>
      <c r="F4" s="27"/>
      <c r="G4" s="27"/>
      <c r="H4" s="27"/>
      <c r="I4" s="27"/>
      <c r="J4" s="27"/>
      <c r="K4" s="27"/>
      <c r="L4" s="27"/>
      <c r="M4" s="27"/>
      <c r="N4" s="27"/>
      <c r="O4" s="27"/>
      <c r="P4" s="27"/>
      <c r="U4" s="28" t="s">
        <v>47</v>
      </c>
      <c r="V4" s="27"/>
      <c r="W4" s="27"/>
      <c r="X4" s="27"/>
      <c r="Y4" s="27"/>
      <c r="Z4" s="27"/>
      <c r="AA4" s="27"/>
      <c r="AC4" s="27"/>
      <c r="AD4" s="29"/>
      <c r="AE4" s="29"/>
      <c r="AF4" s="29"/>
      <c r="AG4" s="29"/>
      <c r="AH4" s="27"/>
    </row>
    <row r="5" spans="1:42" ht="11.1" customHeight="1" x14ac:dyDescent="0.15">
      <c r="A5" s="27"/>
      <c r="B5" s="27"/>
      <c r="C5" s="27"/>
      <c r="D5" s="27"/>
      <c r="E5" s="27"/>
      <c r="F5" s="27"/>
      <c r="G5" s="27"/>
      <c r="H5" s="27"/>
      <c r="I5" s="27"/>
      <c r="J5" s="27"/>
      <c r="K5" s="27"/>
      <c r="L5" s="27"/>
      <c r="M5" s="27"/>
      <c r="N5" s="27"/>
      <c r="O5" s="27"/>
      <c r="P5" s="27"/>
      <c r="U5" s="27"/>
      <c r="V5" s="27"/>
      <c r="W5" s="27"/>
      <c r="X5" s="27"/>
      <c r="Y5" s="27"/>
      <c r="Z5" s="27"/>
      <c r="AA5" s="27"/>
      <c r="AC5" s="27"/>
      <c r="AD5" s="29"/>
      <c r="AE5" s="29"/>
      <c r="AF5" s="29"/>
      <c r="AG5" s="29"/>
      <c r="AH5" s="27"/>
    </row>
    <row r="6" spans="1:42" ht="2.65" customHeight="1" x14ac:dyDescent="0.15"/>
    <row r="7" spans="1:42" ht="13.7" customHeight="1" x14ac:dyDescent="0.15">
      <c r="A7" s="28" t="s">
        <v>46</v>
      </c>
      <c r="B7" s="27"/>
      <c r="C7" s="27"/>
      <c r="D7" s="27"/>
      <c r="E7" s="27"/>
      <c r="F7" s="27"/>
      <c r="G7" s="27"/>
      <c r="H7" s="27"/>
      <c r="I7" s="27"/>
      <c r="J7" s="27"/>
      <c r="K7" s="27"/>
      <c r="L7" s="27"/>
      <c r="M7" s="27"/>
      <c r="N7" s="27"/>
      <c r="O7" s="27"/>
      <c r="P7" s="27"/>
      <c r="Q7" s="27"/>
      <c r="R7" s="27"/>
      <c r="S7" s="27"/>
      <c r="U7" s="27" t="s">
        <v>3</v>
      </c>
      <c r="V7" s="27"/>
      <c r="W7" s="27"/>
      <c r="X7" s="27"/>
      <c r="Y7" s="27"/>
      <c r="Z7" s="27"/>
      <c r="AA7" s="27"/>
      <c r="AC7" s="35"/>
      <c r="AD7" s="36"/>
      <c r="AE7" s="36"/>
      <c r="AF7" s="36"/>
      <c r="AG7" s="36"/>
      <c r="AH7" s="35"/>
    </row>
    <row r="8" spans="1:42" ht="6.95" customHeight="1" x14ac:dyDescent="0.15"/>
    <row r="9" spans="1:42" ht="13.7" customHeight="1" x14ac:dyDescent="0.15">
      <c r="A9" s="27" t="s">
        <v>4</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9"/>
      <c r="AE9" s="29"/>
      <c r="AF9" s="29"/>
      <c r="AG9" s="29"/>
      <c r="AH9" s="27"/>
    </row>
    <row r="10" spans="1:42" ht="13.7" customHeight="1" x14ac:dyDescent="0.15">
      <c r="A10" s="27" t="s">
        <v>5</v>
      </c>
      <c r="B10" s="27"/>
      <c r="C10" s="27"/>
      <c r="D10" s="27"/>
      <c r="E10" s="27"/>
      <c r="F10" s="27"/>
      <c r="G10" s="27"/>
      <c r="H10" s="27"/>
      <c r="I10" s="27"/>
      <c r="J10" s="27"/>
      <c r="K10" s="27"/>
      <c r="L10" s="27"/>
      <c r="M10" s="27"/>
      <c r="N10" s="27"/>
      <c r="O10" s="27"/>
      <c r="P10" s="27"/>
      <c r="Q10" s="27"/>
    </row>
    <row r="11" spans="1:42" ht="50.25" customHeight="1" x14ac:dyDescent="0.15">
      <c r="A11" s="52" t="s">
        <v>88</v>
      </c>
      <c r="B11" s="52"/>
      <c r="C11" s="52"/>
      <c r="D11" s="52"/>
      <c r="E11" s="52"/>
      <c r="F11" s="52"/>
      <c r="G11" s="52"/>
      <c r="H11" s="53" t="s">
        <v>89</v>
      </c>
      <c r="I11" s="53"/>
      <c r="J11" s="53"/>
      <c r="K11" s="53"/>
      <c r="L11" s="53"/>
      <c r="M11" s="53"/>
      <c r="N11" s="53"/>
      <c r="O11" s="53"/>
      <c r="P11" s="53" t="s">
        <v>90</v>
      </c>
      <c r="Q11" s="53"/>
      <c r="R11" s="53"/>
      <c r="S11" s="53" t="s">
        <v>91</v>
      </c>
      <c r="T11" s="53"/>
      <c r="U11" s="53"/>
      <c r="V11" s="53"/>
      <c r="W11" s="54" t="s">
        <v>92</v>
      </c>
      <c r="X11" s="55"/>
      <c r="Y11" s="54" t="s">
        <v>93</v>
      </c>
      <c r="Z11" s="56"/>
      <c r="AA11" s="55"/>
      <c r="AB11" s="57" t="s">
        <v>94</v>
      </c>
      <c r="AC11" s="58" t="s">
        <v>95</v>
      </c>
      <c r="AD11" s="59" t="s">
        <v>96</v>
      </c>
      <c r="AE11" s="57" t="s">
        <v>97</v>
      </c>
      <c r="AF11" s="57" t="s">
        <v>98</v>
      </c>
      <c r="AG11" s="57" t="s">
        <v>99</v>
      </c>
      <c r="AH11" s="60" t="s">
        <v>100</v>
      </c>
      <c r="AI11" s="17"/>
      <c r="AJ11" s="17"/>
      <c r="AK11" s="17"/>
      <c r="AL11" s="17"/>
      <c r="AM11" s="17"/>
      <c r="AN11" s="17"/>
      <c r="AO11" s="17"/>
      <c r="AP11" s="17"/>
    </row>
    <row r="12" spans="1:42" ht="13.7" customHeight="1" x14ac:dyDescent="0.15">
      <c r="A12" s="22" t="s">
        <v>79</v>
      </c>
      <c r="B12" s="23"/>
      <c r="C12" s="23"/>
      <c r="D12" s="23"/>
      <c r="E12" s="23"/>
      <c r="F12" s="23"/>
      <c r="G12" s="23"/>
      <c r="H12" s="22" t="s">
        <v>78</v>
      </c>
      <c r="I12" s="23"/>
      <c r="J12" s="23"/>
      <c r="K12" s="23"/>
      <c r="L12" s="23"/>
      <c r="M12" s="23"/>
      <c r="N12" s="23"/>
      <c r="O12" s="23"/>
      <c r="P12" s="22" t="s">
        <v>58</v>
      </c>
      <c r="Q12" s="23"/>
      <c r="R12" s="23"/>
      <c r="S12" s="22" t="s">
        <v>68</v>
      </c>
      <c r="T12" s="23"/>
      <c r="U12" s="23"/>
      <c r="V12" s="23"/>
      <c r="W12" s="22" t="s">
        <v>86</v>
      </c>
      <c r="X12" s="23"/>
      <c r="Y12" s="22" t="s">
        <v>87</v>
      </c>
      <c r="Z12" s="23"/>
      <c r="AA12" s="23"/>
      <c r="AB12" s="21">
        <v>44</v>
      </c>
      <c r="AC12" s="7">
        <v>380</v>
      </c>
      <c r="AD12" s="8">
        <v>449</v>
      </c>
      <c r="AE12" s="6"/>
      <c r="AF12" s="18"/>
      <c r="AG12" s="18"/>
      <c r="AH12" s="19"/>
      <c r="AJ12" s="7">
        <v>320</v>
      </c>
      <c r="AK12" s="9">
        <v>25</v>
      </c>
      <c r="AL12" s="10">
        <f>AK12+AJ12</f>
        <v>345</v>
      </c>
      <c r="AM12" s="9">
        <f>ROUND(AL12*1.1,0)</f>
        <v>380</v>
      </c>
      <c r="AN12" s="9">
        <f>ROUND(AL12*1.3,0)</f>
        <v>449</v>
      </c>
    </row>
    <row r="13" spans="1:42" ht="13.7" customHeight="1" x14ac:dyDescent="0.15">
      <c r="A13" s="22" t="s">
        <v>79</v>
      </c>
      <c r="B13" s="23"/>
      <c r="C13" s="23"/>
      <c r="D13" s="23"/>
      <c r="E13" s="23"/>
      <c r="F13" s="23"/>
      <c r="G13" s="23"/>
      <c r="H13" s="22" t="s">
        <v>78</v>
      </c>
      <c r="I13" s="23"/>
      <c r="J13" s="23"/>
      <c r="K13" s="23"/>
      <c r="L13" s="23"/>
      <c r="M13" s="23"/>
      <c r="N13" s="23"/>
      <c r="O13" s="23"/>
      <c r="P13" s="22" t="s">
        <v>59</v>
      </c>
      <c r="Q13" s="23"/>
      <c r="R13" s="23"/>
      <c r="S13" s="22" t="s">
        <v>68</v>
      </c>
      <c r="T13" s="23"/>
      <c r="U13" s="23"/>
      <c r="V13" s="23"/>
      <c r="W13" s="22" t="s">
        <v>86</v>
      </c>
      <c r="X13" s="23"/>
      <c r="Y13" s="22" t="s">
        <v>87</v>
      </c>
      <c r="Z13" s="23"/>
      <c r="AA13" s="23"/>
      <c r="AB13" s="21">
        <v>40</v>
      </c>
      <c r="AC13" s="7">
        <v>402</v>
      </c>
      <c r="AD13" s="8">
        <v>475</v>
      </c>
      <c r="AE13" s="6"/>
      <c r="AF13" s="18"/>
      <c r="AG13" s="18"/>
      <c r="AH13" s="19"/>
      <c r="AJ13" s="7">
        <v>340</v>
      </c>
      <c r="AK13" s="9">
        <v>25</v>
      </c>
      <c r="AL13" s="10">
        <f t="shared" ref="AL13:AL29" si="0">AK13+AJ13</f>
        <v>365</v>
      </c>
      <c r="AM13" s="9">
        <f t="shared" ref="AM13:AM29" si="1">ROUND(AL13*1.1,0)</f>
        <v>402</v>
      </c>
      <c r="AN13" s="9">
        <f t="shared" ref="AN13:AN18" si="2">ROUND(AL13*1.3,0)</f>
        <v>475</v>
      </c>
    </row>
    <row r="14" spans="1:42" ht="13.7" customHeight="1" x14ac:dyDescent="0.15">
      <c r="A14" s="22" t="s">
        <v>79</v>
      </c>
      <c r="B14" s="23"/>
      <c r="C14" s="23"/>
      <c r="D14" s="23"/>
      <c r="E14" s="23"/>
      <c r="F14" s="23"/>
      <c r="G14" s="23"/>
      <c r="H14" s="22" t="s">
        <v>78</v>
      </c>
      <c r="I14" s="23"/>
      <c r="J14" s="23"/>
      <c r="K14" s="23"/>
      <c r="L14" s="23"/>
      <c r="M14" s="23"/>
      <c r="N14" s="23"/>
      <c r="O14" s="23"/>
      <c r="P14" s="23" t="s">
        <v>6</v>
      </c>
      <c r="Q14" s="23"/>
      <c r="R14" s="23"/>
      <c r="S14" s="22" t="s">
        <v>68</v>
      </c>
      <c r="T14" s="23"/>
      <c r="U14" s="23"/>
      <c r="V14" s="23"/>
      <c r="W14" s="22" t="s">
        <v>86</v>
      </c>
      <c r="X14" s="23"/>
      <c r="Y14" s="22" t="s">
        <v>87</v>
      </c>
      <c r="Z14" s="23"/>
      <c r="AA14" s="23"/>
      <c r="AB14" s="21">
        <v>48</v>
      </c>
      <c r="AC14" s="7">
        <v>424</v>
      </c>
      <c r="AD14" s="8">
        <v>501</v>
      </c>
      <c r="AE14" s="6"/>
      <c r="AF14" s="18"/>
      <c r="AG14" s="18"/>
      <c r="AH14" s="19"/>
      <c r="AJ14" s="7">
        <v>360</v>
      </c>
      <c r="AK14" s="9">
        <v>25</v>
      </c>
      <c r="AL14" s="10">
        <f t="shared" si="0"/>
        <v>385</v>
      </c>
      <c r="AM14" s="9">
        <f t="shared" si="1"/>
        <v>424</v>
      </c>
      <c r="AN14" s="9">
        <f t="shared" si="2"/>
        <v>501</v>
      </c>
    </row>
    <row r="15" spans="1:42" ht="13.7" customHeight="1" x14ac:dyDescent="0.15">
      <c r="A15" s="22" t="s">
        <v>79</v>
      </c>
      <c r="B15" s="23"/>
      <c r="C15" s="23"/>
      <c r="D15" s="23"/>
      <c r="E15" s="23"/>
      <c r="F15" s="23"/>
      <c r="G15" s="23"/>
      <c r="H15" s="22" t="s">
        <v>78</v>
      </c>
      <c r="I15" s="23"/>
      <c r="J15" s="23"/>
      <c r="K15" s="23"/>
      <c r="L15" s="23"/>
      <c r="M15" s="23"/>
      <c r="N15" s="23"/>
      <c r="O15" s="23"/>
      <c r="P15" s="22" t="s">
        <v>60</v>
      </c>
      <c r="Q15" s="23"/>
      <c r="R15" s="23"/>
      <c r="S15" s="22" t="s">
        <v>68</v>
      </c>
      <c r="T15" s="23"/>
      <c r="U15" s="23"/>
      <c r="V15" s="23"/>
      <c r="W15" s="22" t="s">
        <v>86</v>
      </c>
      <c r="X15" s="23"/>
      <c r="Y15" s="22" t="s">
        <v>87</v>
      </c>
      <c r="Z15" s="23"/>
      <c r="AA15" s="23"/>
      <c r="AB15" s="21">
        <v>36</v>
      </c>
      <c r="AC15" s="7">
        <v>495</v>
      </c>
      <c r="AD15" s="8">
        <v>585</v>
      </c>
      <c r="AE15" s="6"/>
      <c r="AF15" s="18"/>
      <c r="AG15" s="18"/>
      <c r="AH15" s="19"/>
      <c r="AJ15" s="7">
        <v>425</v>
      </c>
      <c r="AK15" s="9">
        <v>25</v>
      </c>
      <c r="AL15" s="10">
        <f t="shared" si="0"/>
        <v>450</v>
      </c>
      <c r="AM15" s="9">
        <f t="shared" si="1"/>
        <v>495</v>
      </c>
      <c r="AN15" s="9">
        <f t="shared" si="2"/>
        <v>585</v>
      </c>
    </row>
    <row r="16" spans="1:42" ht="13.7" customHeight="1" x14ac:dyDescent="0.15">
      <c r="A16" s="22" t="s">
        <v>79</v>
      </c>
      <c r="B16" s="23"/>
      <c r="C16" s="23"/>
      <c r="D16" s="23"/>
      <c r="E16" s="23"/>
      <c r="F16" s="23"/>
      <c r="G16" s="23"/>
      <c r="H16" s="22" t="s">
        <v>78</v>
      </c>
      <c r="I16" s="23"/>
      <c r="J16" s="23"/>
      <c r="K16" s="23"/>
      <c r="L16" s="23"/>
      <c r="M16" s="23"/>
      <c r="N16" s="23"/>
      <c r="O16" s="23"/>
      <c r="P16" s="22" t="s">
        <v>61</v>
      </c>
      <c r="Q16" s="23"/>
      <c r="R16" s="23"/>
      <c r="S16" s="22" t="s">
        <v>68</v>
      </c>
      <c r="T16" s="23"/>
      <c r="U16" s="23"/>
      <c r="V16" s="23"/>
      <c r="W16" s="22" t="s">
        <v>86</v>
      </c>
      <c r="X16" s="23"/>
      <c r="Y16" s="22" t="s">
        <v>87</v>
      </c>
      <c r="Z16" s="23"/>
      <c r="AA16" s="23"/>
      <c r="AB16" s="21">
        <v>30</v>
      </c>
      <c r="AC16" s="7">
        <v>539</v>
      </c>
      <c r="AD16" s="8">
        <v>637</v>
      </c>
      <c r="AE16" s="6"/>
      <c r="AF16" s="18"/>
      <c r="AG16" s="18"/>
      <c r="AH16" s="19"/>
      <c r="AJ16" s="7">
        <v>465</v>
      </c>
      <c r="AK16" s="9">
        <v>25</v>
      </c>
      <c r="AL16" s="10">
        <f t="shared" si="0"/>
        <v>490</v>
      </c>
      <c r="AM16" s="9">
        <f t="shared" si="1"/>
        <v>539</v>
      </c>
      <c r="AN16" s="9">
        <f t="shared" si="2"/>
        <v>637</v>
      </c>
    </row>
    <row r="17" spans="1:40" ht="13.7" customHeight="1" x14ac:dyDescent="0.15">
      <c r="A17" s="22" t="s">
        <v>79</v>
      </c>
      <c r="B17" s="23"/>
      <c r="C17" s="23"/>
      <c r="D17" s="23"/>
      <c r="E17" s="23"/>
      <c r="F17" s="23"/>
      <c r="G17" s="23"/>
      <c r="H17" s="22" t="s">
        <v>78</v>
      </c>
      <c r="I17" s="23"/>
      <c r="J17" s="23"/>
      <c r="K17" s="23"/>
      <c r="L17" s="23"/>
      <c r="M17" s="23"/>
      <c r="N17" s="23"/>
      <c r="O17" s="23"/>
      <c r="P17" s="22" t="s">
        <v>62</v>
      </c>
      <c r="Q17" s="23"/>
      <c r="R17" s="23"/>
      <c r="S17" s="22" t="s">
        <v>68</v>
      </c>
      <c r="T17" s="23"/>
      <c r="U17" s="23"/>
      <c r="V17" s="23"/>
      <c r="W17" s="22" t="s">
        <v>86</v>
      </c>
      <c r="X17" s="23"/>
      <c r="Y17" s="22" t="s">
        <v>87</v>
      </c>
      <c r="Z17" s="23"/>
      <c r="AA17" s="23"/>
      <c r="AB17" s="21">
        <v>20</v>
      </c>
      <c r="AC17" s="7">
        <v>748</v>
      </c>
      <c r="AD17" s="8">
        <v>884</v>
      </c>
      <c r="AE17" s="6"/>
      <c r="AF17" s="18"/>
      <c r="AG17" s="18"/>
      <c r="AH17" s="19"/>
      <c r="AJ17" s="7">
        <v>655</v>
      </c>
      <c r="AK17" s="9">
        <v>25</v>
      </c>
      <c r="AL17" s="10">
        <f t="shared" si="0"/>
        <v>680</v>
      </c>
      <c r="AM17" s="9">
        <f t="shared" si="1"/>
        <v>748</v>
      </c>
      <c r="AN17" s="9">
        <f t="shared" si="2"/>
        <v>884</v>
      </c>
    </row>
    <row r="18" spans="1:40" ht="13.7" customHeight="1" x14ac:dyDescent="0.15">
      <c r="A18" s="22" t="s">
        <v>79</v>
      </c>
      <c r="B18" s="23"/>
      <c r="C18" s="23"/>
      <c r="D18" s="23"/>
      <c r="E18" s="23"/>
      <c r="F18" s="23"/>
      <c r="G18" s="23"/>
      <c r="H18" s="22" t="s">
        <v>78</v>
      </c>
      <c r="I18" s="23"/>
      <c r="J18" s="23"/>
      <c r="K18" s="23"/>
      <c r="L18" s="23"/>
      <c r="M18" s="23"/>
      <c r="N18" s="23"/>
      <c r="O18" s="23"/>
      <c r="P18" s="22" t="s">
        <v>63</v>
      </c>
      <c r="Q18" s="23"/>
      <c r="R18" s="23"/>
      <c r="S18" s="22" t="s">
        <v>68</v>
      </c>
      <c r="T18" s="23"/>
      <c r="U18" s="23"/>
      <c r="V18" s="23"/>
      <c r="W18" s="22" t="s">
        <v>86</v>
      </c>
      <c r="X18" s="23"/>
      <c r="Y18" s="22" t="s">
        <v>87</v>
      </c>
      <c r="Z18" s="23"/>
      <c r="AA18" s="23"/>
      <c r="AB18" s="21">
        <v>20</v>
      </c>
      <c r="AC18" s="7">
        <v>1150</v>
      </c>
      <c r="AD18" s="8">
        <v>1359</v>
      </c>
      <c r="AE18" s="6"/>
      <c r="AF18" s="18"/>
      <c r="AG18" s="18"/>
      <c r="AH18" s="20"/>
      <c r="AJ18" s="7">
        <v>1015</v>
      </c>
      <c r="AK18" s="9">
        <v>30</v>
      </c>
      <c r="AL18" s="10">
        <f t="shared" si="0"/>
        <v>1045</v>
      </c>
      <c r="AM18" s="9">
        <f t="shared" si="1"/>
        <v>1150</v>
      </c>
      <c r="AN18" s="9">
        <f t="shared" si="2"/>
        <v>1359</v>
      </c>
    </row>
    <row r="19" spans="1:40" ht="13.7" customHeight="1" x14ac:dyDescent="0.15">
      <c r="A19" s="22" t="s">
        <v>79</v>
      </c>
      <c r="B19" s="23"/>
      <c r="C19" s="23"/>
      <c r="D19" s="23"/>
      <c r="E19" s="23"/>
      <c r="F19" s="23"/>
      <c r="G19" s="23"/>
      <c r="H19" s="22" t="s">
        <v>78</v>
      </c>
      <c r="I19" s="23"/>
      <c r="J19" s="23"/>
      <c r="K19" s="23"/>
      <c r="L19" s="23"/>
      <c r="M19" s="23"/>
      <c r="N19" s="23"/>
      <c r="O19" s="23"/>
      <c r="P19" s="22" t="s">
        <v>64</v>
      </c>
      <c r="Q19" s="23"/>
      <c r="R19" s="23"/>
      <c r="S19" s="22" t="s">
        <v>68</v>
      </c>
      <c r="T19" s="23"/>
      <c r="U19" s="23"/>
      <c r="V19" s="23"/>
      <c r="W19" s="22" t="s">
        <v>86</v>
      </c>
      <c r="X19" s="23"/>
      <c r="Y19" s="22" t="s">
        <v>87</v>
      </c>
      <c r="Z19" s="23"/>
      <c r="AA19" s="23"/>
      <c r="AB19" s="21">
        <v>20</v>
      </c>
      <c r="AC19" s="7">
        <v>1529</v>
      </c>
      <c r="AD19" s="8">
        <v>1668</v>
      </c>
      <c r="AE19" s="6"/>
      <c r="AF19" s="18"/>
      <c r="AG19" s="18"/>
      <c r="AH19" s="19"/>
      <c r="AJ19" s="7">
        <v>1340</v>
      </c>
      <c r="AK19" s="9">
        <v>50</v>
      </c>
      <c r="AL19" s="10">
        <f t="shared" si="0"/>
        <v>1390</v>
      </c>
      <c r="AM19" s="9">
        <f t="shared" si="1"/>
        <v>1529</v>
      </c>
      <c r="AN19" s="9">
        <f>ROUND(AL19*1.2,0)</f>
        <v>1668</v>
      </c>
    </row>
    <row r="20" spans="1:40" ht="13.7" customHeight="1" x14ac:dyDescent="0.15">
      <c r="A20" s="22" t="s">
        <v>79</v>
      </c>
      <c r="B20" s="23"/>
      <c r="C20" s="23"/>
      <c r="D20" s="23"/>
      <c r="E20" s="23"/>
      <c r="F20" s="23"/>
      <c r="G20" s="23"/>
      <c r="H20" s="22" t="s">
        <v>78</v>
      </c>
      <c r="I20" s="23"/>
      <c r="J20" s="23"/>
      <c r="K20" s="23"/>
      <c r="L20" s="23"/>
      <c r="M20" s="23"/>
      <c r="N20" s="23"/>
      <c r="O20" s="23"/>
      <c r="P20" s="22" t="s">
        <v>65</v>
      </c>
      <c r="Q20" s="23"/>
      <c r="R20" s="23"/>
      <c r="S20" s="22" t="s">
        <v>68</v>
      </c>
      <c r="T20" s="23"/>
      <c r="U20" s="23"/>
      <c r="V20" s="23"/>
      <c r="W20" s="22" t="s">
        <v>86</v>
      </c>
      <c r="X20" s="23"/>
      <c r="Y20" s="22" t="s">
        <v>87</v>
      </c>
      <c r="Z20" s="23"/>
      <c r="AA20" s="23"/>
      <c r="AB20" s="21">
        <v>15</v>
      </c>
      <c r="AC20" s="7">
        <v>2151</v>
      </c>
      <c r="AD20" s="8">
        <v>2346</v>
      </c>
      <c r="AE20" s="6"/>
      <c r="AF20" s="18"/>
      <c r="AG20" s="18"/>
      <c r="AH20" s="19"/>
      <c r="AJ20" s="7">
        <v>1895</v>
      </c>
      <c r="AK20" s="9">
        <v>60</v>
      </c>
      <c r="AL20" s="10">
        <f t="shared" si="0"/>
        <v>1955</v>
      </c>
      <c r="AM20" s="9">
        <f t="shared" si="1"/>
        <v>2151</v>
      </c>
      <c r="AN20" s="9">
        <f t="shared" ref="AN20:AN22" si="3">ROUND(AL20*1.2,0)</f>
        <v>2346</v>
      </c>
    </row>
    <row r="21" spans="1:40" ht="13.7" customHeight="1" x14ac:dyDescent="0.15">
      <c r="A21" s="22" t="s">
        <v>79</v>
      </c>
      <c r="B21" s="23"/>
      <c r="C21" s="23"/>
      <c r="D21" s="23"/>
      <c r="E21" s="23"/>
      <c r="F21" s="23"/>
      <c r="G21" s="23"/>
      <c r="H21" s="22" t="s">
        <v>78</v>
      </c>
      <c r="I21" s="23"/>
      <c r="J21" s="23"/>
      <c r="K21" s="23"/>
      <c r="L21" s="23"/>
      <c r="M21" s="23"/>
      <c r="N21" s="23"/>
      <c r="O21" s="23"/>
      <c r="P21" s="22" t="s">
        <v>66</v>
      </c>
      <c r="Q21" s="23"/>
      <c r="R21" s="23"/>
      <c r="S21" s="22" t="s">
        <v>68</v>
      </c>
      <c r="T21" s="23"/>
      <c r="U21" s="23"/>
      <c r="V21" s="23"/>
      <c r="W21" s="22" t="s">
        <v>86</v>
      </c>
      <c r="X21" s="23"/>
      <c r="Y21" s="22" t="s">
        <v>87</v>
      </c>
      <c r="Z21" s="23"/>
      <c r="AA21" s="23"/>
      <c r="AB21" s="21">
        <v>15</v>
      </c>
      <c r="AC21" s="7">
        <v>2508</v>
      </c>
      <c r="AD21" s="8">
        <v>2736</v>
      </c>
      <c r="AE21" s="6"/>
      <c r="AF21" s="18"/>
      <c r="AG21" s="18"/>
      <c r="AH21" s="19"/>
      <c r="AJ21" s="7">
        <v>2210</v>
      </c>
      <c r="AK21" s="9">
        <v>70</v>
      </c>
      <c r="AL21" s="10">
        <f t="shared" si="0"/>
        <v>2280</v>
      </c>
      <c r="AM21" s="9">
        <f t="shared" si="1"/>
        <v>2508</v>
      </c>
      <c r="AN21" s="9">
        <f t="shared" si="3"/>
        <v>2736</v>
      </c>
    </row>
    <row r="22" spans="1:40" ht="13.7" customHeight="1" x14ac:dyDescent="0.15">
      <c r="A22" s="22" t="s">
        <v>79</v>
      </c>
      <c r="B22" s="23"/>
      <c r="C22" s="23"/>
      <c r="D22" s="23"/>
      <c r="E22" s="23"/>
      <c r="F22" s="23"/>
      <c r="G22" s="23"/>
      <c r="H22" s="22" t="s">
        <v>78</v>
      </c>
      <c r="I22" s="23"/>
      <c r="J22" s="23"/>
      <c r="K22" s="23"/>
      <c r="L22" s="23"/>
      <c r="M22" s="23"/>
      <c r="N22" s="23"/>
      <c r="O22" s="23"/>
      <c r="P22" s="22" t="s">
        <v>67</v>
      </c>
      <c r="Q22" s="23"/>
      <c r="R22" s="23"/>
      <c r="S22" s="22" t="s">
        <v>68</v>
      </c>
      <c r="T22" s="23"/>
      <c r="U22" s="23"/>
      <c r="V22" s="23"/>
      <c r="W22" s="22" t="s">
        <v>86</v>
      </c>
      <c r="X22" s="23"/>
      <c r="Y22" s="22" t="s">
        <v>87</v>
      </c>
      <c r="Z22" s="23"/>
      <c r="AA22" s="23"/>
      <c r="AB22" s="21">
        <v>10</v>
      </c>
      <c r="AC22" s="7">
        <v>3850</v>
      </c>
      <c r="AD22" s="8">
        <v>4200</v>
      </c>
      <c r="AE22" s="6"/>
      <c r="AF22" s="18"/>
      <c r="AG22" s="18"/>
      <c r="AH22" s="19"/>
      <c r="AJ22" s="7">
        <v>3420</v>
      </c>
      <c r="AK22" s="9">
        <v>80</v>
      </c>
      <c r="AL22" s="10">
        <f t="shared" si="0"/>
        <v>3500</v>
      </c>
      <c r="AM22" s="9">
        <f t="shared" si="1"/>
        <v>3850</v>
      </c>
      <c r="AN22" s="9">
        <f t="shared" si="3"/>
        <v>4200</v>
      </c>
    </row>
    <row r="23" spans="1:40" ht="13.7" customHeight="1" x14ac:dyDescent="0.15">
      <c r="A23" s="22" t="s">
        <v>79</v>
      </c>
      <c r="B23" s="23"/>
      <c r="C23" s="23"/>
      <c r="D23" s="23"/>
      <c r="E23" s="23"/>
      <c r="F23" s="23"/>
      <c r="G23" s="23"/>
      <c r="H23" s="22" t="s">
        <v>78</v>
      </c>
      <c r="I23" s="23"/>
      <c r="J23" s="23"/>
      <c r="K23" s="23"/>
      <c r="L23" s="23"/>
      <c r="M23" s="23"/>
      <c r="N23" s="23"/>
      <c r="O23" s="23"/>
      <c r="P23" s="22" t="s">
        <v>70</v>
      </c>
      <c r="Q23" s="23"/>
      <c r="R23" s="23"/>
      <c r="S23" s="22" t="s">
        <v>68</v>
      </c>
      <c r="T23" s="23"/>
      <c r="U23" s="23"/>
      <c r="V23" s="23"/>
      <c r="W23" s="22" t="s">
        <v>86</v>
      </c>
      <c r="X23" s="23"/>
      <c r="Y23" s="22" t="s">
        <v>87</v>
      </c>
      <c r="Z23" s="23"/>
      <c r="AA23" s="23"/>
      <c r="AB23" s="21">
        <v>4</v>
      </c>
      <c r="AC23" s="7">
        <v>4290</v>
      </c>
      <c r="AD23" s="8">
        <v>4485</v>
      </c>
      <c r="AE23" s="6"/>
      <c r="AF23" s="18"/>
      <c r="AG23" s="18"/>
      <c r="AH23" s="20"/>
      <c r="AJ23" s="7">
        <v>3800</v>
      </c>
      <c r="AK23" s="9">
        <v>100</v>
      </c>
      <c r="AL23" s="10">
        <f t="shared" si="0"/>
        <v>3900</v>
      </c>
      <c r="AM23" s="9">
        <f t="shared" si="1"/>
        <v>4290</v>
      </c>
      <c r="AN23" s="9">
        <f>ROUND(AL23*1.15,0)</f>
        <v>4485</v>
      </c>
    </row>
    <row r="24" spans="1:40" ht="13.7" customHeight="1" x14ac:dyDescent="0.15">
      <c r="A24" s="22" t="s">
        <v>79</v>
      </c>
      <c r="B24" s="23"/>
      <c r="C24" s="23"/>
      <c r="D24" s="23"/>
      <c r="E24" s="23"/>
      <c r="F24" s="23"/>
      <c r="G24" s="23"/>
      <c r="H24" s="22" t="s">
        <v>78</v>
      </c>
      <c r="I24" s="23"/>
      <c r="J24" s="23"/>
      <c r="K24" s="23"/>
      <c r="L24" s="23"/>
      <c r="M24" s="23"/>
      <c r="N24" s="23"/>
      <c r="O24" s="23"/>
      <c r="P24" s="22" t="s">
        <v>71</v>
      </c>
      <c r="Q24" s="23"/>
      <c r="R24" s="23"/>
      <c r="S24" s="22" t="s">
        <v>68</v>
      </c>
      <c r="T24" s="23"/>
      <c r="U24" s="23"/>
      <c r="V24" s="23"/>
      <c r="W24" s="22" t="s">
        <v>86</v>
      </c>
      <c r="X24" s="23"/>
      <c r="Y24" s="22" t="s">
        <v>87</v>
      </c>
      <c r="Z24" s="23"/>
      <c r="AA24" s="23"/>
      <c r="AB24" s="21">
        <v>4</v>
      </c>
      <c r="AC24" s="7">
        <v>7920</v>
      </c>
      <c r="AD24" s="8">
        <v>8280</v>
      </c>
      <c r="AE24" s="6"/>
      <c r="AF24" s="18"/>
      <c r="AG24" s="18"/>
      <c r="AH24" s="19"/>
      <c r="AJ24" s="7">
        <v>7050</v>
      </c>
      <c r="AK24" s="9">
        <v>150</v>
      </c>
      <c r="AL24" s="10">
        <f t="shared" si="0"/>
        <v>7200</v>
      </c>
      <c r="AM24" s="9">
        <f t="shared" si="1"/>
        <v>7920</v>
      </c>
      <c r="AN24" s="9">
        <f t="shared" ref="AN24:AN25" si="4">ROUND(AL24*1.15,0)</f>
        <v>8280</v>
      </c>
    </row>
    <row r="25" spans="1:40" ht="13.7" customHeight="1" x14ac:dyDescent="0.15">
      <c r="A25" s="22" t="s">
        <v>79</v>
      </c>
      <c r="B25" s="23"/>
      <c r="C25" s="23"/>
      <c r="D25" s="23"/>
      <c r="E25" s="23"/>
      <c r="F25" s="23"/>
      <c r="G25" s="23"/>
      <c r="H25" s="22" t="s">
        <v>78</v>
      </c>
      <c r="I25" s="23"/>
      <c r="J25" s="23"/>
      <c r="K25" s="23"/>
      <c r="L25" s="23"/>
      <c r="M25" s="23"/>
      <c r="N25" s="23"/>
      <c r="O25" s="23"/>
      <c r="P25" s="22" t="s">
        <v>72</v>
      </c>
      <c r="Q25" s="23"/>
      <c r="R25" s="23"/>
      <c r="S25" s="22" t="s">
        <v>68</v>
      </c>
      <c r="T25" s="23"/>
      <c r="U25" s="23"/>
      <c r="V25" s="23"/>
      <c r="W25" s="22" t="s">
        <v>86</v>
      </c>
      <c r="X25" s="23"/>
      <c r="Y25" s="22" t="s">
        <v>87</v>
      </c>
      <c r="Z25" s="23"/>
      <c r="AA25" s="23"/>
      <c r="AB25" s="21">
        <v>2</v>
      </c>
      <c r="AC25" s="7">
        <v>9845</v>
      </c>
      <c r="AD25" s="8">
        <v>10293</v>
      </c>
      <c r="AE25" s="6"/>
      <c r="AF25" s="18"/>
      <c r="AG25" s="18"/>
      <c r="AH25" s="20"/>
      <c r="AJ25" s="7">
        <v>8700</v>
      </c>
      <c r="AK25" s="9">
        <v>250</v>
      </c>
      <c r="AL25" s="10">
        <f t="shared" si="0"/>
        <v>8950</v>
      </c>
      <c r="AM25" s="9">
        <f t="shared" si="1"/>
        <v>9845</v>
      </c>
      <c r="AN25" s="9">
        <f t="shared" si="4"/>
        <v>10293</v>
      </c>
    </row>
    <row r="26" spans="1:40" ht="13.7" customHeight="1" x14ac:dyDescent="0.15">
      <c r="A26" s="22" t="s">
        <v>79</v>
      </c>
      <c r="B26" s="23"/>
      <c r="C26" s="23"/>
      <c r="D26" s="23"/>
      <c r="E26" s="23"/>
      <c r="F26" s="23"/>
      <c r="G26" s="23"/>
      <c r="H26" s="22" t="s">
        <v>78</v>
      </c>
      <c r="I26" s="23"/>
      <c r="J26" s="23"/>
      <c r="K26" s="23"/>
      <c r="L26" s="23"/>
      <c r="M26" s="23"/>
      <c r="N26" s="23"/>
      <c r="O26" s="23"/>
      <c r="P26" s="22" t="s">
        <v>73</v>
      </c>
      <c r="Q26" s="23"/>
      <c r="R26" s="23"/>
      <c r="S26" s="22" t="s">
        <v>68</v>
      </c>
      <c r="T26" s="23"/>
      <c r="U26" s="23"/>
      <c r="V26" s="23"/>
      <c r="W26" s="22" t="s">
        <v>86</v>
      </c>
      <c r="X26" s="23"/>
      <c r="Y26" s="22" t="s">
        <v>87</v>
      </c>
      <c r="Z26" s="23"/>
      <c r="AA26" s="23"/>
      <c r="AB26" s="21">
        <v>2</v>
      </c>
      <c r="AC26" s="2"/>
      <c r="AD26" s="6"/>
      <c r="AE26" s="6"/>
      <c r="AF26" s="18"/>
      <c r="AG26" s="18"/>
      <c r="AH26" s="19"/>
      <c r="AJ26" s="5"/>
      <c r="AK26" s="9">
        <v>450</v>
      </c>
      <c r="AL26" s="10">
        <f t="shared" si="0"/>
        <v>450</v>
      </c>
      <c r="AM26" s="9">
        <f t="shared" si="1"/>
        <v>495</v>
      </c>
      <c r="AN26" s="9">
        <f>ROUND(AL26*1.1,0)</f>
        <v>495</v>
      </c>
    </row>
    <row r="27" spans="1:40" ht="13.7" customHeight="1" x14ac:dyDescent="0.15">
      <c r="A27" s="22" t="s">
        <v>79</v>
      </c>
      <c r="B27" s="23"/>
      <c r="C27" s="23"/>
      <c r="D27" s="23"/>
      <c r="E27" s="23"/>
      <c r="F27" s="23"/>
      <c r="G27" s="23"/>
      <c r="H27" s="22" t="s">
        <v>78</v>
      </c>
      <c r="I27" s="23"/>
      <c r="J27" s="23"/>
      <c r="K27" s="23"/>
      <c r="L27" s="23"/>
      <c r="M27" s="23"/>
      <c r="N27" s="23"/>
      <c r="O27" s="23"/>
      <c r="P27" s="22" t="s">
        <v>74</v>
      </c>
      <c r="Q27" s="23"/>
      <c r="R27" s="23"/>
      <c r="S27" s="22" t="s">
        <v>68</v>
      </c>
      <c r="T27" s="23"/>
      <c r="U27" s="23"/>
      <c r="V27" s="23"/>
      <c r="W27" s="22" t="s">
        <v>86</v>
      </c>
      <c r="X27" s="23"/>
      <c r="Y27" s="22" t="s">
        <v>87</v>
      </c>
      <c r="Z27" s="23"/>
      <c r="AA27" s="23"/>
      <c r="AB27" s="21">
        <v>2</v>
      </c>
      <c r="AC27" s="2"/>
      <c r="AD27" s="6"/>
      <c r="AE27" s="6"/>
      <c r="AF27" s="18"/>
      <c r="AG27" s="18"/>
      <c r="AH27" s="19"/>
      <c r="AK27" s="9">
        <v>650</v>
      </c>
      <c r="AL27" s="10">
        <f t="shared" si="0"/>
        <v>650</v>
      </c>
      <c r="AM27" s="9">
        <f t="shared" si="1"/>
        <v>715</v>
      </c>
      <c r="AN27" s="9">
        <f t="shared" ref="AN27:AN28" si="5">ROUND(AL27*1.1,0)</f>
        <v>715</v>
      </c>
    </row>
    <row r="28" spans="1:40" ht="13.7" customHeight="1" x14ac:dyDescent="0.15">
      <c r="A28" s="22" t="s">
        <v>79</v>
      </c>
      <c r="B28" s="23"/>
      <c r="C28" s="23"/>
      <c r="D28" s="23"/>
      <c r="E28" s="23"/>
      <c r="F28" s="23"/>
      <c r="G28" s="23"/>
      <c r="H28" s="22" t="s">
        <v>78</v>
      </c>
      <c r="I28" s="23"/>
      <c r="J28" s="23"/>
      <c r="K28" s="23"/>
      <c r="L28" s="23"/>
      <c r="M28" s="23"/>
      <c r="N28" s="23"/>
      <c r="O28" s="23"/>
      <c r="P28" s="22" t="s">
        <v>75</v>
      </c>
      <c r="Q28" s="23"/>
      <c r="R28" s="23"/>
      <c r="S28" s="22" t="s">
        <v>68</v>
      </c>
      <c r="T28" s="23"/>
      <c r="U28" s="23"/>
      <c r="V28" s="23"/>
      <c r="W28" s="22" t="s">
        <v>86</v>
      </c>
      <c r="X28" s="23"/>
      <c r="Y28" s="22" t="s">
        <v>87</v>
      </c>
      <c r="Z28" s="23"/>
      <c r="AA28" s="23"/>
      <c r="AB28" s="21">
        <v>2</v>
      </c>
      <c r="AC28" s="2"/>
      <c r="AD28" s="6"/>
      <c r="AE28" s="6"/>
      <c r="AF28" s="18"/>
      <c r="AG28" s="18"/>
      <c r="AH28" s="19"/>
      <c r="AK28" s="9">
        <v>900</v>
      </c>
      <c r="AL28" s="10">
        <f t="shared" si="0"/>
        <v>900</v>
      </c>
      <c r="AM28" s="9">
        <f t="shared" si="1"/>
        <v>990</v>
      </c>
      <c r="AN28" s="9">
        <f t="shared" si="5"/>
        <v>990</v>
      </c>
    </row>
    <row r="29" spans="1:40" ht="13.7" customHeight="1" x14ac:dyDescent="0.15">
      <c r="A29" s="22" t="s">
        <v>79</v>
      </c>
      <c r="B29" s="23"/>
      <c r="C29" s="23"/>
      <c r="D29" s="23"/>
      <c r="E29" s="23"/>
      <c r="F29" s="23"/>
      <c r="G29" s="23"/>
      <c r="H29" s="22" t="s">
        <v>78</v>
      </c>
      <c r="I29" s="23"/>
      <c r="J29" s="23"/>
      <c r="K29" s="23"/>
      <c r="L29" s="23"/>
      <c r="M29" s="23"/>
      <c r="N29" s="23"/>
      <c r="O29" s="23"/>
      <c r="P29" s="22" t="s">
        <v>76</v>
      </c>
      <c r="Q29" s="23"/>
      <c r="R29" s="23"/>
      <c r="S29" s="22" t="s">
        <v>68</v>
      </c>
      <c r="T29" s="23"/>
      <c r="U29" s="23"/>
      <c r="V29" s="23"/>
      <c r="W29" s="22" t="s">
        <v>86</v>
      </c>
      <c r="X29" s="23"/>
      <c r="Y29" s="22" t="s">
        <v>87</v>
      </c>
      <c r="Z29" s="23"/>
      <c r="AA29" s="23"/>
      <c r="AB29" s="21">
        <v>2</v>
      </c>
      <c r="AC29" s="2"/>
      <c r="AD29" s="6"/>
      <c r="AE29" s="6"/>
      <c r="AF29" s="18"/>
      <c r="AG29" s="18"/>
      <c r="AH29" s="19"/>
      <c r="AK29" s="9">
        <v>1000</v>
      </c>
      <c r="AL29" s="10">
        <f t="shared" si="0"/>
        <v>1000</v>
      </c>
      <c r="AM29" s="9">
        <f t="shared" si="1"/>
        <v>1100</v>
      </c>
      <c r="AN29" s="9">
        <f>ROUND(AL29*1.1,0)</f>
        <v>1100</v>
      </c>
    </row>
    <row r="30" spans="1:40" ht="20.65" customHeight="1" x14ac:dyDescent="0.15">
      <c r="A30" s="37" t="s">
        <v>81</v>
      </c>
      <c r="B30" s="38"/>
      <c r="C30" s="38"/>
      <c r="D30" s="38"/>
      <c r="E30" s="38"/>
      <c r="F30" s="38"/>
      <c r="G30" s="38"/>
      <c r="H30" s="38"/>
      <c r="I30" s="38"/>
      <c r="J30" s="38"/>
      <c r="K30" s="38"/>
      <c r="L30" s="38"/>
      <c r="M30" s="38"/>
      <c r="N30" s="23" t="s">
        <v>8</v>
      </c>
      <c r="O30" s="23"/>
      <c r="P30" s="23"/>
      <c r="Q30" s="23"/>
      <c r="R30" s="23"/>
      <c r="S30" s="23"/>
      <c r="T30" s="23"/>
      <c r="U30" s="23"/>
      <c r="V30" s="39"/>
      <c r="W30" s="39"/>
      <c r="X30" s="39"/>
      <c r="Y30" s="39"/>
      <c r="Z30" s="31" t="s">
        <v>9</v>
      </c>
      <c r="AA30" s="31"/>
      <c r="AB30" s="31"/>
      <c r="AC30" s="31"/>
      <c r="AD30" s="32"/>
      <c r="AE30" s="32"/>
      <c r="AF30" s="32"/>
      <c r="AG30" s="32"/>
      <c r="AH30" s="31"/>
    </row>
    <row r="31" spans="1:40" ht="20.65" customHeight="1" x14ac:dyDescent="0.15">
      <c r="A31" s="40" t="s">
        <v>83</v>
      </c>
      <c r="B31" s="41"/>
      <c r="C31" s="41"/>
      <c r="D31" s="41"/>
      <c r="E31" s="41"/>
      <c r="F31" s="41"/>
      <c r="G31" s="41"/>
      <c r="H31" s="41"/>
      <c r="I31" s="41"/>
      <c r="J31" s="41"/>
      <c r="K31" s="41"/>
      <c r="L31" s="41"/>
      <c r="M31" s="41"/>
      <c r="N31" s="41"/>
      <c r="O31" s="41"/>
      <c r="P31" s="41"/>
      <c r="Q31" s="41"/>
      <c r="R31" s="41"/>
      <c r="S31" s="41"/>
      <c r="T31" s="41"/>
      <c r="U31" s="41"/>
      <c r="V31" s="41"/>
      <c r="W31" s="41"/>
      <c r="X31" s="41"/>
      <c r="Y31" s="41"/>
      <c r="Z31" s="40" t="s">
        <v>82</v>
      </c>
      <c r="AA31" s="41"/>
      <c r="AB31" s="41"/>
      <c r="AC31" s="41"/>
      <c r="AD31" s="42"/>
      <c r="AE31" s="42"/>
      <c r="AF31" s="42"/>
      <c r="AG31" s="42"/>
      <c r="AH31" s="41"/>
      <c r="AK31" s="3"/>
    </row>
    <row r="32" spans="1:40" ht="20.65" customHeight="1" x14ac:dyDescent="0.15">
      <c r="A32" s="30" t="s">
        <v>77</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2"/>
      <c r="AE32" s="32"/>
      <c r="AF32" s="32"/>
      <c r="AG32" s="32"/>
      <c r="AH32" s="31"/>
    </row>
    <row r="33" spans="1:37" ht="2.4500000000000002" customHeight="1" x14ac:dyDescent="0.15"/>
    <row r="34" spans="1:37" ht="13.7" customHeight="1" x14ac:dyDescent="0.15">
      <c r="A34" s="27" t="s">
        <v>10</v>
      </c>
      <c r="B34" s="27"/>
      <c r="C34" s="27"/>
      <c r="D34" s="27"/>
      <c r="E34" s="27"/>
      <c r="F34" s="27"/>
      <c r="G34" s="27"/>
      <c r="H34" s="27"/>
      <c r="I34" s="27"/>
      <c r="L34" s="33" t="s">
        <v>11</v>
      </c>
      <c r="M34" s="33"/>
      <c r="N34" s="33"/>
      <c r="O34" s="33"/>
      <c r="P34" s="33"/>
      <c r="Q34" s="33"/>
      <c r="R34" s="33"/>
      <c r="S34" s="33"/>
      <c r="T34" s="33"/>
      <c r="U34" s="33"/>
      <c r="V34" s="33"/>
      <c r="W34" s="33"/>
      <c r="X34" s="33"/>
    </row>
    <row r="35" spans="1:37" ht="13.7" customHeight="1" x14ac:dyDescent="0.15">
      <c r="A35" s="27" t="s">
        <v>12</v>
      </c>
      <c r="B35" s="27"/>
      <c r="C35" s="27"/>
      <c r="D35" s="27"/>
      <c r="E35" s="27"/>
      <c r="F35" s="27"/>
      <c r="G35" s="27"/>
      <c r="H35" s="27"/>
      <c r="I35" s="27"/>
      <c r="J35" s="27"/>
      <c r="K35" s="27"/>
      <c r="L35" s="33" t="s">
        <v>13</v>
      </c>
      <c r="M35" s="33"/>
      <c r="N35" s="33"/>
      <c r="O35" s="33"/>
      <c r="P35" s="33"/>
      <c r="Q35" s="33"/>
      <c r="R35" s="33"/>
      <c r="S35" s="33"/>
      <c r="T35" s="33"/>
      <c r="U35" s="33"/>
      <c r="V35" s="33"/>
      <c r="W35" s="33"/>
      <c r="X35" s="33"/>
      <c r="Y35" s="33"/>
      <c r="Z35" s="33"/>
      <c r="AA35" s="33"/>
      <c r="AB35" s="33"/>
      <c r="AC35" s="33"/>
      <c r="AD35" s="34"/>
      <c r="AE35" s="34"/>
      <c r="AF35" s="34"/>
      <c r="AG35" s="34"/>
      <c r="AH35" s="33"/>
      <c r="AK35" s="4"/>
    </row>
    <row r="36" spans="1:37" ht="13.7" customHeight="1" x14ac:dyDescent="0.15">
      <c r="A36" s="27" t="s">
        <v>14</v>
      </c>
      <c r="B36" s="27"/>
      <c r="C36" s="27"/>
      <c r="D36" s="27"/>
      <c r="E36" s="27"/>
      <c r="F36" s="27"/>
      <c r="G36" s="27"/>
      <c r="H36" s="27"/>
      <c r="I36" s="27"/>
      <c r="J36" s="43" t="s">
        <v>69</v>
      </c>
      <c r="K36" s="44"/>
      <c r="L36" s="44"/>
      <c r="M36" s="44"/>
      <c r="N36" s="44"/>
      <c r="O36" s="44"/>
      <c r="P36" s="44"/>
      <c r="Q36" s="44"/>
      <c r="R36" s="44"/>
      <c r="S36" s="44"/>
      <c r="T36" s="44"/>
      <c r="U36" s="44"/>
      <c r="V36" s="44"/>
      <c r="W36" s="44"/>
      <c r="X36" s="44"/>
      <c r="Y36" s="44"/>
      <c r="Z36" s="44"/>
      <c r="AA36" s="44"/>
      <c r="AB36" s="44"/>
      <c r="AC36" s="44"/>
      <c r="AD36" s="45"/>
      <c r="AE36" s="15"/>
      <c r="AF36" s="15"/>
      <c r="AG36" s="15"/>
    </row>
    <row r="37" spans="1:37" ht="13.7" customHeight="1" x14ac:dyDescent="0.15">
      <c r="A37" s="27" t="s">
        <v>15</v>
      </c>
      <c r="B37" s="27"/>
      <c r="C37" s="27"/>
      <c r="D37" s="27"/>
      <c r="E37" s="27"/>
      <c r="F37" s="27"/>
      <c r="G37" s="27"/>
      <c r="H37" s="27"/>
      <c r="I37" s="33" t="s">
        <v>16</v>
      </c>
      <c r="J37" s="33"/>
      <c r="K37" s="33"/>
      <c r="L37" s="33"/>
      <c r="M37" s="33"/>
      <c r="N37" s="33"/>
      <c r="O37" s="33"/>
      <c r="P37" s="33"/>
      <c r="Q37" s="33"/>
      <c r="R37" s="33"/>
      <c r="S37" s="33"/>
      <c r="T37" s="33"/>
      <c r="U37" s="33"/>
      <c r="V37" s="33"/>
      <c r="W37" s="33"/>
      <c r="X37" s="33"/>
      <c r="Y37" s="33"/>
      <c r="Z37" s="33"/>
      <c r="AA37" s="33"/>
      <c r="AB37" s="33"/>
      <c r="AC37" s="33"/>
      <c r="AD37" s="34"/>
      <c r="AE37" s="14"/>
      <c r="AF37" s="14"/>
      <c r="AG37" s="14"/>
    </row>
    <row r="38" spans="1:37" ht="13.7" customHeight="1" x14ac:dyDescent="0.15">
      <c r="A38" s="27" t="s">
        <v>17</v>
      </c>
      <c r="B38" s="27"/>
      <c r="C38" s="27"/>
      <c r="D38" s="27"/>
      <c r="E38" s="27"/>
      <c r="F38" s="27"/>
      <c r="G38" s="27"/>
      <c r="H38" s="27"/>
      <c r="I38" s="27"/>
      <c r="J38" s="27"/>
      <c r="K38" s="28" t="s">
        <v>53</v>
      </c>
      <c r="L38" s="27"/>
      <c r="M38" s="27"/>
      <c r="N38" s="27"/>
      <c r="O38" s="27"/>
      <c r="P38" s="27"/>
      <c r="Q38" s="27"/>
      <c r="R38" s="27"/>
      <c r="S38" s="27"/>
      <c r="T38" s="27"/>
      <c r="U38" s="27"/>
      <c r="V38" s="27"/>
      <c r="W38" s="27"/>
      <c r="X38" s="27"/>
      <c r="Y38" s="27"/>
      <c r="Z38" s="27"/>
      <c r="AA38" s="27"/>
      <c r="AB38" s="27"/>
      <c r="AC38" s="27" t="s">
        <v>18</v>
      </c>
      <c r="AD38" s="29"/>
      <c r="AE38" s="29"/>
      <c r="AF38" s="29"/>
      <c r="AG38" s="29"/>
      <c r="AH38" s="27"/>
    </row>
    <row r="39" spans="1:37" ht="1.5" customHeight="1" x14ac:dyDescent="0.15"/>
    <row r="40" spans="1:37" ht="13.7" customHeight="1" x14ac:dyDescent="0.15">
      <c r="A40" s="27" t="s">
        <v>19</v>
      </c>
      <c r="B40" s="27"/>
      <c r="C40" s="27"/>
      <c r="D40" s="27"/>
      <c r="E40" s="27"/>
      <c r="F40" s="27"/>
      <c r="G40" s="27"/>
      <c r="H40" s="27"/>
      <c r="I40" s="27"/>
      <c r="J40" s="27"/>
      <c r="K40" s="27"/>
      <c r="L40" s="27"/>
      <c r="M40" s="33" t="s">
        <v>20</v>
      </c>
      <c r="N40" s="33"/>
      <c r="O40" s="33"/>
      <c r="P40" s="33"/>
      <c r="Q40" s="33"/>
      <c r="R40" s="33"/>
      <c r="S40" s="33"/>
      <c r="T40" s="33"/>
      <c r="U40" s="33"/>
      <c r="V40" s="33"/>
      <c r="W40" s="33"/>
      <c r="X40" s="33"/>
      <c r="Y40" s="33"/>
      <c r="Z40" s="33"/>
      <c r="AA40" s="33"/>
      <c r="AB40" s="33"/>
      <c r="AC40" s="33"/>
      <c r="AD40" s="34"/>
      <c r="AE40" s="34"/>
      <c r="AF40" s="34"/>
      <c r="AG40" s="34"/>
      <c r="AH40" s="33"/>
    </row>
    <row r="41" spans="1:37" ht="3.95" customHeight="1" x14ac:dyDescent="0.15">
      <c r="G41" s="33" t="s">
        <v>52</v>
      </c>
      <c r="H41" s="33"/>
      <c r="I41" s="33"/>
      <c r="J41" s="33"/>
      <c r="K41" s="33"/>
      <c r="L41" s="33"/>
      <c r="M41" s="33"/>
      <c r="N41" s="33"/>
      <c r="O41" s="33"/>
      <c r="P41" s="33"/>
      <c r="Q41" s="33"/>
      <c r="R41" s="33"/>
      <c r="S41" s="33"/>
      <c r="T41" s="33"/>
      <c r="U41" s="33"/>
      <c r="V41" s="33"/>
      <c r="W41" s="33"/>
      <c r="X41" s="33"/>
      <c r="Y41" s="33"/>
      <c r="Z41" s="33"/>
      <c r="AA41" s="33"/>
      <c r="AB41" s="33"/>
      <c r="AC41" s="33"/>
      <c r="AD41" s="34"/>
      <c r="AE41" s="34"/>
      <c r="AF41" s="34"/>
      <c r="AG41" s="34"/>
      <c r="AH41" s="33"/>
    </row>
    <row r="42" spans="1:37" ht="13.7" customHeight="1" x14ac:dyDescent="0.15">
      <c r="A42" s="27" t="s">
        <v>21</v>
      </c>
      <c r="B42" s="27"/>
      <c r="C42" s="27"/>
      <c r="D42" s="27"/>
      <c r="E42" s="27"/>
      <c r="F42" s="27"/>
      <c r="G42" s="33"/>
      <c r="H42" s="33"/>
      <c r="I42" s="33"/>
      <c r="J42" s="33"/>
      <c r="K42" s="33"/>
      <c r="L42" s="33"/>
      <c r="M42" s="33"/>
      <c r="N42" s="33"/>
      <c r="O42" s="33"/>
      <c r="P42" s="33"/>
      <c r="Q42" s="33"/>
      <c r="R42" s="33"/>
      <c r="S42" s="33"/>
      <c r="T42" s="33"/>
      <c r="U42" s="33"/>
      <c r="V42" s="33"/>
      <c r="W42" s="33"/>
      <c r="X42" s="33"/>
      <c r="Y42" s="33"/>
      <c r="Z42" s="33"/>
      <c r="AA42" s="33"/>
      <c r="AB42" s="33"/>
      <c r="AC42" s="33"/>
      <c r="AD42" s="34"/>
      <c r="AE42" s="34"/>
      <c r="AF42" s="34"/>
      <c r="AG42" s="34"/>
      <c r="AH42" s="33"/>
    </row>
    <row r="43" spans="1:37" ht="9" customHeight="1" x14ac:dyDescent="0.15">
      <c r="G43" s="33"/>
      <c r="H43" s="33"/>
      <c r="I43" s="33"/>
      <c r="J43" s="33"/>
      <c r="K43" s="33"/>
      <c r="L43" s="33"/>
      <c r="M43" s="33"/>
      <c r="N43" s="33"/>
      <c r="O43" s="33"/>
      <c r="P43" s="33"/>
      <c r="Q43" s="33"/>
      <c r="R43" s="33"/>
      <c r="S43" s="33"/>
      <c r="T43" s="33"/>
      <c r="U43" s="33"/>
      <c r="V43" s="33"/>
      <c r="W43" s="33"/>
      <c r="X43" s="33"/>
      <c r="Y43" s="33"/>
      <c r="Z43" s="33"/>
      <c r="AA43" s="33"/>
      <c r="AB43" s="33"/>
      <c r="AC43" s="33"/>
      <c r="AD43" s="34"/>
      <c r="AE43" s="34"/>
      <c r="AF43" s="34"/>
      <c r="AG43" s="34"/>
      <c r="AH43" s="33"/>
    </row>
    <row r="44" spans="1:37" ht="1.1499999999999999" customHeight="1" x14ac:dyDescent="0.15">
      <c r="A44" s="27" t="s">
        <v>22</v>
      </c>
      <c r="B44" s="27"/>
      <c r="C44" s="27"/>
      <c r="D44" s="27"/>
      <c r="E44" s="27"/>
      <c r="F44" s="33" t="s">
        <v>51</v>
      </c>
      <c r="G44" s="33"/>
      <c r="H44" s="33"/>
      <c r="I44" s="33"/>
      <c r="J44" s="33"/>
      <c r="K44" s="33"/>
      <c r="L44" s="33"/>
      <c r="M44" s="33"/>
      <c r="N44" s="33"/>
      <c r="O44" s="33"/>
      <c r="P44" s="33"/>
      <c r="Q44" s="33"/>
      <c r="R44" s="33"/>
      <c r="S44" s="33"/>
      <c r="T44" s="33"/>
      <c r="U44" s="33"/>
      <c r="V44" s="33"/>
      <c r="W44" s="33"/>
      <c r="X44" s="33"/>
      <c r="Y44" s="33"/>
      <c r="Z44" s="33"/>
      <c r="AA44" s="33"/>
      <c r="AB44" s="33"/>
      <c r="AC44" s="33"/>
      <c r="AD44" s="34"/>
      <c r="AE44" s="34"/>
      <c r="AF44" s="34"/>
      <c r="AG44" s="34"/>
      <c r="AH44" s="33"/>
    </row>
    <row r="45" spans="1:37" ht="12.6" customHeight="1" x14ac:dyDescent="0.15">
      <c r="A45" s="27"/>
      <c r="B45" s="27"/>
      <c r="C45" s="27"/>
      <c r="D45" s="27"/>
      <c r="E45" s="27"/>
      <c r="F45" s="33"/>
      <c r="G45" s="33"/>
      <c r="H45" s="33"/>
      <c r="I45" s="33"/>
      <c r="J45" s="33"/>
      <c r="K45" s="33"/>
      <c r="L45" s="33"/>
      <c r="M45" s="33"/>
      <c r="N45" s="33"/>
      <c r="O45" s="33"/>
      <c r="P45" s="33"/>
      <c r="Q45" s="33"/>
      <c r="R45" s="33"/>
      <c r="S45" s="33"/>
      <c r="T45" s="33"/>
      <c r="U45" s="33"/>
      <c r="V45" s="33"/>
      <c r="W45" s="33"/>
      <c r="X45" s="33"/>
      <c r="Y45" s="33"/>
      <c r="Z45" s="33"/>
      <c r="AA45" s="33"/>
      <c r="AB45" s="33"/>
      <c r="AC45" s="33"/>
      <c r="AD45" s="34"/>
      <c r="AE45" s="34"/>
      <c r="AF45" s="34"/>
      <c r="AG45" s="34"/>
      <c r="AH45" s="33"/>
    </row>
    <row r="46" spans="1:37" ht="18" customHeight="1" x14ac:dyDescent="0.15">
      <c r="F46" s="33"/>
      <c r="G46" s="33"/>
      <c r="H46" s="33"/>
      <c r="I46" s="33"/>
      <c r="J46" s="33"/>
      <c r="K46" s="33"/>
      <c r="L46" s="33"/>
      <c r="M46" s="33"/>
      <c r="N46" s="33"/>
      <c r="O46" s="33"/>
      <c r="P46" s="33"/>
      <c r="Q46" s="33"/>
      <c r="R46" s="33"/>
      <c r="S46" s="33"/>
      <c r="T46" s="33"/>
      <c r="U46" s="33"/>
      <c r="V46" s="33"/>
      <c r="W46" s="33"/>
      <c r="X46" s="33"/>
      <c r="Y46" s="33"/>
      <c r="Z46" s="33"/>
      <c r="AA46" s="33"/>
      <c r="AB46" s="33"/>
      <c r="AC46" s="33"/>
      <c r="AD46" s="34"/>
      <c r="AE46" s="34"/>
      <c r="AF46" s="34"/>
      <c r="AG46" s="34"/>
      <c r="AH46" s="33"/>
    </row>
    <row r="47" spans="1:37" ht="2.85" customHeight="1" x14ac:dyDescent="0.15">
      <c r="A47" s="27" t="s">
        <v>23</v>
      </c>
      <c r="B47" s="27"/>
      <c r="C47" s="27"/>
      <c r="D47" s="27"/>
      <c r="F47" s="1" t="s">
        <v>7</v>
      </c>
      <c r="G47" s="33" t="s">
        <v>50</v>
      </c>
      <c r="H47" s="33"/>
      <c r="I47" s="33"/>
      <c r="J47" s="33"/>
      <c r="K47" s="33"/>
      <c r="L47" s="33"/>
      <c r="M47" s="33"/>
      <c r="N47" s="33"/>
      <c r="O47" s="33"/>
      <c r="P47" s="33"/>
      <c r="Q47" s="33"/>
      <c r="R47" s="33"/>
      <c r="S47" s="33"/>
      <c r="T47" s="33"/>
      <c r="U47" s="33"/>
      <c r="V47" s="33"/>
      <c r="W47" s="33"/>
      <c r="X47" s="33"/>
      <c r="Y47" s="33"/>
      <c r="Z47" s="33"/>
      <c r="AA47" s="33"/>
      <c r="AB47" s="33"/>
      <c r="AC47" s="33"/>
      <c r="AD47" s="34"/>
      <c r="AE47" s="34"/>
      <c r="AF47" s="34"/>
      <c r="AG47" s="34"/>
      <c r="AH47" s="33"/>
    </row>
    <row r="48" spans="1:37" ht="10.9" customHeight="1" x14ac:dyDescent="0.15">
      <c r="A48" s="27"/>
      <c r="B48" s="27"/>
      <c r="C48" s="27"/>
      <c r="D48" s="27"/>
      <c r="G48" s="33"/>
      <c r="H48" s="33"/>
      <c r="I48" s="33"/>
      <c r="J48" s="33"/>
      <c r="K48" s="33"/>
      <c r="L48" s="33"/>
      <c r="M48" s="33"/>
      <c r="N48" s="33"/>
      <c r="O48" s="33"/>
      <c r="P48" s="33"/>
      <c r="Q48" s="33"/>
      <c r="R48" s="33"/>
      <c r="S48" s="33"/>
      <c r="T48" s="33"/>
      <c r="U48" s="33"/>
      <c r="V48" s="33"/>
      <c r="W48" s="33"/>
      <c r="X48" s="33"/>
      <c r="Y48" s="33"/>
      <c r="Z48" s="33"/>
      <c r="AA48" s="33"/>
      <c r="AB48" s="33"/>
      <c r="AC48" s="33"/>
      <c r="AD48" s="34"/>
      <c r="AE48" s="34"/>
      <c r="AF48" s="34"/>
      <c r="AG48" s="34"/>
      <c r="AH48" s="33"/>
    </row>
    <row r="49" spans="1:35" ht="3.4" customHeight="1" x14ac:dyDescent="0.15"/>
    <row r="50" spans="1:35" ht="10.15" customHeight="1" x14ac:dyDescent="0.15">
      <c r="E50" s="33" t="s">
        <v>48</v>
      </c>
      <c r="F50" s="33"/>
      <c r="G50" s="33"/>
      <c r="H50" s="33"/>
      <c r="I50" s="33"/>
      <c r="J50" s="33"/>
      <c r="K50" s="33"/>
      <c r="L50" s="33"/>
      <c r="M50" s="33"/>
      <c r="N50" s="33"/>
      <c r="O50" s="33"/>
      <c r="P50" s="33"/>
      <c r="Q50" s="33"/>
      <c r="R50" s="33"/>
      <c r="S50" s="33"/>
      <c r="T50" s="33"/>
      <c r="U50" s="33"/>
      <c r="V50" s="33"/>
      <c r="W50" s="33"/>
      <c r="X50" s="33"/>
      <c r="Y50" s="33"/>
      <c r="Z50" s="33"/>
      <c r="AA50" s="33"/>
      <c r="AB50" s="33"/>
      <c r="AC50" s="33"/>
      <c r="AD50" s="34"/>
      <c r="AE50" s="34"/>
      <c r="AF50" s="34"/>
      <c r="AG50" s="34"/>
      <c r="AH50" s="33"/>
    </row>
    <row r="51" spans="1:35" ht="23.25" customHeight="1" x14ac:dyDescent="0.15">
      <c r="A51" s="27" t="s">
        <v>24</v>
      </c>
      <c r="B51" s="27"/>
      <c r="C51" s="27"/>
      <c r="D51" s="27"/>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4"/>
      <c r="AE51" s="34"/>
      <c r="AF51" s="34"/>
      <c r="AG51" s="34"/>
      <c r="AH51" s="33"/>
    </row>
    <row r="52" spans="1:35" ht="10.35" customHeight="1" x14ac:dyDescent="0.15">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4"/>
      <c r="AE52" s="34"/>
      <c r="AF52" s="34"/>
      <c r="AG52" s="34"/>
      <c r="AH52" s="33"/>
    </row>
    <row r="53" spans="1:35" ht="1.1499999999999999" customHeight="1" x14ac:dyDescent="0.15"/>
    <row r="54" spans="1:35" ht="3.95" customHeight="1" x14ac:dyDescent="0.15">
      <c r="E54" s="33" t="s">
        <v>49</v>
      </c>
      <c r="F54" s="33"/>
      <c r="G54" s="33"/>
      <c r="H54" s="33"/>
      <c r="I54" s="33"/>
      <c r="J54" s="33"/>
      <c r="K54" s="33"/>
      <c r="L54" s="33"/>
      <c r="M54" s="33"/>
      <c r="N54" s="33"/>
      <c r="O54" s="33"/>
      <c r="P54" s="33"/>
      <c r="Q54" s="33"/>
      <c r="R54" s="33"/>
      <c r="S54" s="33"/>
      <c r="T54" s="33"/>
      <c r="U54" s="33"/>
      <c r="V54" s="33"/>
      <c r="W54" s="33"/>
      <c r="X54" s="33"/>
      <c r="Y54" s="33"/>
      <c r="Z54" s="33"/>
      <c r="AA54" s="33"/>
      <c r="AB54" s="33"/>
      <c r="AC54" s="33"/>
      <c r="AD54" s="34"/>
      <c r="AE54" s="34"/>
      <c r="AF54" s="34"/>
      <c r="AG54" s="34"/>
      <c r="AH54" s="33"/>
    </row>
    <row r="55" spans="1:35" ht="13.7" customHeight="1" x14ac:dyDescent="0.15">
      <c r="A55" s="27" t="s">
        <v>25</v>
      </c>
      <c r="B55" s="27"/>
      <c r="C55" s="27"/>
      <c r="D55" s="27"/>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4"/>
      <c r="AE55" s="34"/>
      <c r="AF55" s="34"/>
      <c r="AG55" s="34"/>
      <c r="AH55" s="33"/>
    </row>
    <row r="56" spans="1:35" ht="2.85" customHeight="1" x14ac:dyDescent="0.15">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4"/>
      <c r="AE56" s="34"/>
      <c r="AF56" s="34"/>
      <c r="AG56" s="34"/>
      <c r="AH56" s="33"/>
    </row>
    <row r="57" spans="1:35" ht="0.4" customHeight="1" x14ac:dyDescent="0.15"/>
    <row r="58" spans="1:35" ht="13.7" customHeight="1" x14ac:dyDescent="0.15">
      <c r="A58" s="27" t="s">
        <v>26</v>
      </c>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9"/>
      <c r="AE58" s="12"/>
      <c r="AF58" s="12"/>
      <c r="AG58" s="12"/>
    </row>
    <row r="59" spans="1:35" ht="1.5" customHeight="1" x14ac:dyDescent="0.15"/>
    <row r="60" spans="1:35" ht="13.7" customHeight="1" x14ac:dyDescent="0.15">
      <c r="A60" s="27" t="s">
        <v>27</v>
      </c>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9"/>
      <c r="AE60" s="12"/>
      <c r="AF60" s="12"/>
      <c r="AG60" s="12"/>
    </row>
    <row r="61" spans="1:35" ht="1.7" customHeight="1" x14ac:dyDescent="0.15"/>
    <row r="62" spans="1:35" ht="20.65" customHeight="1" x14ac:dyDescent="0.15">
      <c r="C62" s="50" t="s">
        <v>80</v>
      </c>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7"/>
      <c r="AE62" s="47"/>
      <c r="AF62" s="47"/>
      <c r="AG62" s="47"/>
      <c r="AH62" s="46"/>
    </row>
    <row r="63" spans="1:35" ht="1.9" customHeight="1" x14ac:dyDescent="0.15"/>
    <row r="64" spans="1:35" ht="17.850000000000001" customHeight="1" x14ac:dyDescent="0.15">
      <c r="A64" s="23" t="s">
        <v>28</v>
      </c>
      <c r="B64" s="23"/>
      <c r="C64" s="23"/>
      <c r="D64" s="23"/>
      <c r="E64" s="23"/>
      <c r="F64" s="23"/>
      <c r="G64" s="23"/>
      <c r="H64" s="23"/>
      <c r="I64" s="23"/>
      <c r="J64" s="23"/>
      <c r="K64" s="23"/>
      <c r="L64" s="23"/>
      <c r="M64" s="23"/>
      <c r="N64" s="23"/>
      <c r="O64" s="23"/>
      <c r="P64" s="23"/>
      <c r="Q64" s="23"/>
      <c r="R64" s="23"/>
      <c r="S64" s="23"/>
      <c r="T64" s="23"/>
      <c r="U64" s="23"/>
      <c r="V64" s="23"/>
      <c r="W64" s="23"/>
      <c r="X64" s="23" t="s">
        <v>29</v>
      </c>
      <c r="Y64" s="23"/>
      <c r="Z64" s="23"/>
      <c r="AA64" s="23"/>
      <c r="AB64" s="23"/>
      <c r="AC64" s="23"/>
      <c r="AD64" s="51"/>
      <c r="AE64" s="51"/>
      <c r="AF64" s="51"/>
      <c r="AG64" s="51"/>
      <c r="AH64" s="23"/>
      <c r="AI64" s="23"/>
    </row>
    <row r="65" spans="1:35" ht="17.649999999999999" customHeight="1" x14ac:dyDescent="0.15">
      <c r="A65" s="31" t="s">
        <v>30</v>
      </c>
      <c r="B65" s="31"/>
      <c r="C65" s="31"/>
      <c r="D65" s="31"/>
      <c r="E65" s="31"/>
      <c r="F65" s="31"/>
      <c r="G65" s="31"/>
      <c r="H65" s="31"/>
      <c r="I65" s="31"/>
      <c r="J65" s="31"/>
      <c r="K65" s="31"/>
      <c r="L65" s="31"/>
      <c r="M65" s="31"/>
      <c r="N65" s="31"/>
      <c r="O65" s="31"/>
      <c r="P65" s="31"/>
      <c r="Q65" s="31"/>
      <c r="R65" s="31"/>
      <c r="S65" s="31"/>
      <c r="T65" s="31"/>
      <c r="U65" s="31"/>
      <c r="V65" s="31"/>
      <c r="W65" s="31"/>
      <c r="X65" s="30" t="s">
        <v>57</v>
      </c>
      <c r="Y65" s="31"/>
      <c r="Z65" s="31"/>
      <c r="AA65" s="31"/>
      <c r="AB65" s="31"/>
      <c r="AC65" s="31"/>
      <c r="AD65" s="32"/>
      <c r="AE65" s="32"/>
      <c r="AF65" s="32"/>
      <c r="AG65" s="32"/>
      <c r="AH65" s="31"/>
      <c r="AI65" s="31"/>
    </row>
    <row r="66" spans="1:35" ht="21.75" customHeight="1" x14ac:dyDescent="0.15">
      <c r="A66" s="31" t="s">
        <v>31</v>
      </c>
      <c r="B66" s="31"/>
      <c r="C66" s="31"/>
      <c r="D66" s="31"/>
      <c r="E66" s="31"/>
      <c r="F66" s="31"/>
      <c r="G66" s="31"/>
      <c r="H66" s="31"/>
      <c r="I66" s="31"/>
      <c r="J66" s="31"/>
      <c r="K66" s="31"/>
      <c r="L66" s="31"/>
      <c r="M66" s="31"/>
      <c r="N66" s="31"/>
      <c r="O66" s="31"/>
      <c r="P66" s="31"/>
      <c r="Q66" s="31"/>
      <c r="R66" s="31"/>
      <c r="S66" s="31"/>
      <c r="T66" s="31"/>
      <c r="U66" s="31"/>
      <c r="V66" s="31"/>
      <c r="W66" s="31"/>
      <c r="X66" s="30" t="s">
        <v>56</v>
      </c>
      <c r="Y66" s="31"/>
      <c r="Z66" s="31"/>
      <c r="AA66" s="31"/>
      <c r="AB66" s="31"/>
      <c r="AC66" s="31"/>
      <c r="AD66" s="32"/>
      <c r="AE66" s="32"/>
      <c r="AF66" s="32"/>
      <c r="AG66" s="32"/>
      <c r="AH66" s="31"/>
      <c r="AI66" s="31"/>
    </row>
    <row r="67" spans="1:35" ht="17.850000000000001" customHeight="1" x14ac:dyDescent="0.15">
      <c r="A67" s="31" t="s">
        <v>32</v>
      </c>
      <c r="B67" s="31"/>
      <c r="C67" s="31"/>
      <c r="D67" s="31"/>
      <c r="E67" s="31"/>
      <c r="F67" s="31"/>
      <c r="G67" s="31"/>
      <c r="H67" s="31"/>
      <c r="I67" s="31"/>
      <c r="J67" s="31"/>
      <c r="K67" s="31"/>
      <c r="L67" s="31"/>
      <c r="M67" s="31"/>
      <c r="N67" s="31"/>
      <c r="O67" s="31"/>
      <c r="P67" s="31"/>
      <c r="Q67" s="31"/>
      <c r="R67" s="31"/>
      <c r="S67" s="31"/>
      <c r="T67" s="31"/>
      <c r="U67" s="31"/>
      <c r="V67" s="31"/>
      <c r="W67" s="31"/>
      <c r="X67" s="31" t="s">
        <v>33</v>
      </c>
      <c r="Y67" s="31"/>
      <c r="Z67" s="31"/>
      <c r="AA67" s="31"/>
      <c r="AB67" s="31"/>
      <c r="AC67" s="31"/>
      <c r="AD67" s="32"/>
      <c r="AE67" s="32"/>
      <c r="AF67" s="32"/>
      <c r="AG67" s="32"/>
      <c r="AH67" s="31"/>
      <c r="AI67" s="31"/>
    </row>
    <row r="68" spans="1:35" ht="24.75" customHeight="1" x14ac:dyDescent="0.15">
      <c r="A68" s="31" t="s">
        <v>34</v>
      </c>
      <c r="B68" s="31"/>
      <c r="C68" s="31"/>
      <c r="D68" s="31"/>
      <c r="E68" s="31"/>
      <c r="F68" s="31"/>
      <c r="G68" s="31"/>
      <c r="H68" s="31"/>
      <c r="I68" s="31"/>
      <c r="J68" s="31"/>
      <c r="K68" s="31"/>
      <c r="L68" s="31"/>
      <c r="M68" s="31"/>
      <c r="N68" s="31"/>
      <c r="O68" s="31"/>
      <c r="P68" s="31"/>
      <c r="Q68" s="31"/>
      <c r="R68" s="31"/>
      <c r="S68" s="31" t="s">
        <v>35</v>
      </c>
      <c r="T68" s="31"/>
      <c r="U68" s="31"/>
      <c r="V68" s="31"/>
      <c r="W68" s="31"/>
      <c r="X68" s="31" t="s">
        <v>36</v>
      </c>
      <c r="Y68" s="31"/>
      <c r="Z68" s="31"/>
      <c r="AA68" s="31"/>
      <c r="AB68" s="31"/>
      <c r="AC68" s="31"/>
      <c r="AD68" s="32"/>
      <c r="AE68" s="13"/>
      <c r="AF68" s="13"/>
      <c r="AG68" s="13"/>
      <c r="AH68" s="31"/>
      <c r="AI68" s="31"/>
    </row>
    <row r="69" spans="1:35" ht="0.4" customHeight="1" x14ac:dyDescent="0.15"/>
    <row r="70" spans="1:35" ht="17.850000000000001" customHeight="1" x14ac:dyDescent="0.15">
      <c r="A70" s="31" t="s">
        <v>37</v>
      </c>
      <c r="B70" s="31"/>
      <c r="C70" s="31"/>
      <c r="D70" s="31"/>
      <c r="E70" s="31"/>
      <c r="F70" s="31"/>
      <c r="G70" s="31"/>
      <c r="H70" s="31"/>
      <c r="I70" s="31"/>
      <c r="J70" s="31"/>
      <c r="K70" s="31"/>
      <c r="L70" s="31"/>
      <c r="M70" s="31"/>
      <c r="N70" s="31"/>
      <c r="O70" s="31"/>
      <c r="P70" s="31"/>
      <c r="Q70" s="31"/>
      <c r="R70" s="31"/>
      <c r="S70" s="31"/>
      <c r="T70" s="31"/>
      <c r="U70" s="31"/>
      <c r="V70" s="31"/>
      <c r="W70" s="31"/>
      <c r="X70" s="31" t="s">
        <v>38</v>
      </c>
      <c r="Y70" s="31"/>
      <c r="Z70" s="31"/>
      <c r="AA70" s="31"/>
      <c r="AB70" s="31"/>
      <c r="AC70" s="31"/>
      <c r="AD70" s="32"/>
      <c r="AE70" s="32"/>
      <c r="AF70" s="32"/>
      <c r="AG70" s="32"/>
      <c r="AH70" s="31"/>
      <c r="AI70" s="31"/>
    </row>
    <row r="71" spans="1:35" ht="18.399999999999999" customHeight="1" x14ac:dyDescent="0.15">
      <c r="A71" s="31" t="s">
        <v>39</v>
      </c>
      <c r="B71" s="31"/>
      <c r="C71" s="31"/>
      <c r="D71" s="31"/>
      <c r="E71" s="31"/>
      <c r="F71" s="31"/>
      <c r="G71" s="31"/>
      <c r="H71" s="31"/>
      <c r="I71" s="31"/>
      <c r="J71" s="31"/>
      <c r="K71" s="31"/>
      <c r="L71" s="31"/>
      <c r="M71" s="31"/>
      <c r="N71" s="31"/>
      <c r="O71" s="31"/>
      <c r="P71" s="31"/>
      <c r="Q71" s="31"/>
      <c r="R71" s="31"/>
      <c r="S71" s="31"/>
      <c r="T71" s="31"/>
      <c r="U71" s="31"/>
      <c r="V71" s="31"/>
      <c r="W71" s="31"/>
      <c r="X71" s="30" t="s">
        <v>54</v>
      </c>
      <c r="Y71" s="31"/>
      <c r="Z71" s="31"/>
      <c r="AA71" s="31"/>
      <c r="AB71" s="31"/>
      <c r="AC71" s="31"/>
      <c r="AD71" s="32"/>
      <c r="AE71" s="32"/>
      <c r="AF71" s="32"/>
      <c r="AG71" s="32"/>
      <c r="AH71" s="31"/>
      <c r="AI71" s="31"/>
    </row>
    <row r="72" spans="1:35" ht="17.25" customHeight="1" x14ac:dyDescent="0.15">
      <c r="A72" s="31" t="s">
        <v>40</v>
      </c>
      <c r="B72" s="31"/>
      <c r="C72" s="31"/>
      <c r="D72" s="31"/>
      <c r="E72" s="31"/>
      <c r="F72" s="31"/>
      <c r="G72" s="31"/>
      <c r="H72" s="31"/>
      <c r="I72" s="31"/>
      <c r="J72" s="31"/>
      <c r="K72" s="31"/>
      <c r="L72" s="31"/>
      <c r="M72" s="31"/>
      <c r="N72" s="31"/>
      <c r="O72" s="31"/>
      <c r="P72" s="31"/>
      <c r="Q72" s="31"/>
      <c r="R72" s="31"/>
      <c r="S72" s="31"/>
      <c r="T72" s="31"/>
      <c r="U72" s="31"/>
      <c r="V72" s="31"/>
      <c r="W72" s="31"/>
      <c r="X72" s="31" t="s">
        <v>41</v>
      </c>
      <c r="Y72" s="31"/>
      <c r="Z72" s="31"/>
      <c r="AA72" s="31"/>
      <c r="AB72" s="31"/>
      <c r="AC72" s="31"/>
      <c r="AD72" s="32"/>
      <c r="AE72" s="32"/>
      <c r="AF72" s="32"/>
      <c r="AG72" s="32"/>
      <c r="AH72" s="31"/>
      <c r="AI72" s="31"/>
    </row>
    <row r="73" spans="1:35" ht="17.649999999999999" customHeight="1" x14ac:dyDescent="0.15">
      <c r="A73" s="31" t="s">
        <v>42</v>
      </c>
      <c r="B73" s="31"/>
      <c r="C73" s="31"/>
      <c r="D73" s="31"/>
      <c r="E73" s="31"/>
      <c r="F73" s="31"/>
      <c r="G73" s="31"/>
      <c r="H73" s="31"/>
      <c r="I73" s="31"/>
      <c r="J73" s="31"/>
      <c r="K73" s="31"/>
      <c r="L73" s="31"/>
      <c r="M73" s="31"/>
      <c r="N73" s="31"/>
      <c r="O73" s="31"/>
      <c r="P73" s="31"/>
      <c r="Q73" s="31"/>
      <c r="R73" s="31"/>
      <c r="S73" s="31"/>
      <c r="T73" s="31"/>
      <c r="U73" s="31"/>
      <c r="V73" s="31"/>
      <c r="W73" s="31"/>
      <c r="X73" s="31" t="s">
        <v>43</v>
      </c>
      <c r="Y73" s="31"/>
      <c r="Z73" s="31"/>
      <c r="AA73" s="31"/>
      <c r="AB73" s="31"/>
      <c r="AC73" s="31"/>
      <c r="AD73" s="32"/>
      <c r="AE73" s="32"/>
      <c r="AF73" s="32"/>
      <c r="AG73" s="32"/>
      <c r="AH73" s="31"/>
    </row>
    <row r="74" spans="1:35" ht="0.4" customHeight="1" x14ac:dyDescent="0.15"/>
    <row r="75" spans="1:35" ht="17.45" customHeight="1" x14ac:dyDescent="0.15">
      <c r="A75" s="31" t="s">
        <v>44</v>
      </c>
      <c r="B75" s="31"/>
      <c r="C75" s="31"/>
      <c r="D75" s="31"/>
      <c r="E75" s="31"/>
      <c r="F75" s="31"/>
      <c r="G75" s="31"/>
      <c r="H75" s="31"/>
      <c r="I75" s="31"/>
      <c r="J75" s="31"/>
      <c r="K75" s="31"/>
      <c r="L75" s="31"/>
      <c r="M75" s="31"/>
      <c r="N75" s="31"/>
      <c r="O75" s="31"/>
      <c r="P75" s="31"/>
      <c r="Q75" s="31"/>
      <c r="R75" s="31"/>
      <c r="S75" s="31"/>
      <c r="T75" s="31"/>
      <c r="U75" s="31"/>
      <c r="V75" s="31"/>
      <c r="W75" s="31"/>
      <c r="X75" s="30" t="s">
        <v>55</v>
      </c>
      <c r="Y75" s="31"/>
      <c r="Z75" s="31"/>
      <c r="AA75" s="31"/>
      <c r="AB75" s="31"/>
      <c r="AC75" s="31"/>
      <c r="AD75" s="32"/>
      <c r="AE75" s="32"/>
      <c r="AF75" s="32"/>
      <c r="AG75" s="32"/>
      <c r="AH75" s="31"/>
      <c r="AI75" s="31"/>
    </row>
    <row r="76" spans="1:35" ht="17.25" customHeight="1" x14ac:dyDescent="0.15">
      <c r="A76" s="48" t="s">
        <v>85</v>
      </c>
      <c r="B76" s="49"/>
      <c r="C76" s="49"/>
      <c r="D76" s="49"/>
      <c r="E76" s="49"/>
      <c r="F76" s="49"/>
      <c r="G76" s="49"/>
      <c r="H76" s="49"/>
      <c r="I76" s="49"/>
      <c r="J76" s="49"/>
      <c r="K76" s="49"/>
      <c r="L76" s="49"/>
      <c r="M76" s="49"/>
      <c r="N76" s="49"/>
      <c r="O76" s="49"/>
      <c r="P76" s="49"/>
      <c r="Q76" s="49"/>
      <c r="R76" s="49"/>
      <c r="S76" s="49"/>
      <c r="T76" s="49"/>
      <c r="U76" s="49"/>
      <c r="V76" s="49"/>
      <c r="W76" s="49"/>
      <c r="X76" s="48" t="s">
        <v>84</v>
      </c>
      <c r="Y76" s="49"/>
      <c r="Z76" s="49"/>
      <c r="AA76" s="49"/>
      <c r="AB76" s="49"/>
      <c r="AC76" s="49"/>
      <c r="AD76" s="49"/>
      <c r="AE76" s="49"/>
      <c r="AF76" s="49"/>
      <c r="AG76" s="49"/>
      <c r="AH76" s="49"/>
      <c r="AI76" s="49"/>
    </row>
    <row r="77" spans="1:35" ht="1.7" customHeight="1" x14ac:dyDescent="0.15"/>
    <row r="78" spans="1:35" ht="13.7" customHeight="1" x14ac:dyDescent="0.15">
      <c r="A78" s="46" t="s">
        <v>45</v>
      </c>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7"/>
      <c r="AE78" s="16"/>
      <c r="AF78" s="16"/>
      <c r="AG78" s="16"/>
    </row>
  </sheetData>
  <mergeCells count="184">
    <mergeCell ref="A29:G29"/>
    <mergeCell ref="H29:O29"/>
    <mergeCell ref="P29:R29"/>
    <mergeCell ref="S29:V29"/>
    <mergeCell ref="W29:X29"/>
    <mergeCell ref="Y29:AA29"/>
    <mergeCell ref="A28:G28"/>
    <mergeCell ref="H28:O28"/>
    <mergeCell ref="P28:R28"/>
    <mergeCell ref="S28:V28"/>
    <mergeCell ref="W28:X28"/>
    <mergeCell ref="Y28:AA28"/>
    <mergeCell ref="A27:G27"/>
    <mergeCell ref="H27:O27"/>
    <mergeCell ref="P27:R27"/>
    <mergeCell ref="S27:V27"/>
    <mergeCell ref="W27:X27"/>
    <mergeCell ref="Y27:AA27"/>
    <mergeCell ref="A26:G26"/>
    <mergeCell ref="H26:O26"/>
    <mergeCell ref="P26:R26"/>
    <mergeCell ref="S26:V26"/>
    <mergeCell ref="W26:X26"/>
    <mergeCell ref="Y26:AA26"/>
    <mergeCell ref="A25:G25"/>
    <mergeCell ref="H25:O25"/>
    <mergeCell ref="P25:R25"/>
    <mergeCell ref="S25:V25"/>
    <mergeCell ref="W25:X25"/>
    <mergeCell ref="Y25:AA25"/>
    <mergeCell ref="Y23:AA23"/>
    <mergeCell ref="A24:G24"/>
    <mergeCell ref="H24:O24"/>
    <mergeCell ref="P24:R24"/>
    <mergeCell ref="S24:V24"/>
    <mergeCell ref="W24:X24"/>
    <mergeCell ref="Y24:AA24"/>
    <mergeCell ref="A15:G15"/>
    <mergeCell ref="H15:O15"/>
    <mergeCell ref="P15:R15"/>
    <mergeCell ref="S15:V15"/>
    <mergeCell ref="A23:G23"/>
    <mergeCell ref="H23:O23"/>
    <mergeCell ref="P23:R23"/>
    <mergeCell ref="S23:V23"/>
    <mergeCell ref="W23:X23"/>
    <mergeCell ref="P16:R16"/>
    <mergeCell ref="S16:V16"/>
    <mergeCell ref="W16:X16"/>
    <mergeCell ref="Y16:AA16"/>
    <mergeCell ref="W15:X15"/>
    <mergeCell ref="Y15:AA15"/>
    <mergeCell ref="H14:O14"/>
    <mergeCell ref="P14:R14"/>
    <mergeCell ref="S14:V14"/>
    <mergeCell ref="A12:G12"/>
    <mergeCell ref="H12:O12"/>
    <mergeCell ref="P12:R12"/>
    <mergeCell ref="S12:V12"/>
    <mergeCell ref="W12:X12"/>
    <mergeCell ref="Y12:AA12"/>
    <mergeCell ref="W14:X14"/>
    <mergeCell ref="Y14:AA14"/>
    <mergeCell ref="H13:O13"/>
    <mergeCell ref="P13:R13"/>
    <mergeCell ref="S13:V13"/>
    <mergeCell ref="A75:W75"/>
    <mergeCell ref="X75:AI75"/>
    <mergeCell ref="A76:W76"/>
    <mergeCell ref="X76:AI76"/>
    <mergeCell ref="A65:W65"/>
    <mergeCell ref="X65:AI65"/>
    <mergeCell ref="A66:W66"/>
    <mergeCell ref="X66:AI66"/>
    <mergeCell ref="A67:W67"/>
    <mergeCell ref="X67:AI67"/>
    <mergeCell ref="A58:AD58"/>
    <mergeCell ref="A60:AD60"/>
    <mergeCell ref="C62:AH62"/>
    <mergeCell ref="A64:W64"/>
    <mergeCell ref="X64:AI64"/>
    <mergeCell ref="A47:D48"/>
    <mergeCell ref="G47:AH48"/>
    <mergeCell ref="A51:D51"/>
    <mergeCell ref="E50:AH52"/>
    <mergeCell ref="A16:G16"/>
    <mergeCell ref="H16:O16"/>
    <mergeCell ref="A78:AD78"/>
    <mergeCell ref="A71:W71"/>
    <mergeCell ref="X71:AI71"/>
    <mergeCell ref="A72:W72"/>
    <mergeCell ref="X72:AI72"/>
    <mergeCell ref="A73:W73"/>
    <mergeCell ref="X73:AH73"/>
    <mergeCell ref="A68:R68"/>
    <mergeCell ref="S68:W68"/>
    <mergeCell ref="X68:AD68"/>
    <mergeCell ref="AH68:AI68"/>
    <mergeCell ref="A70:W70"/>
    <mergeCell ref="X70:AI70"/>
    <mergeCell ref="A55:D55"/>
    <mergeCell ref="E54:AH56"/>
    <mergeCell ref="A40:L40"/>
    <mergeCell ref="M40:AH40"/>
    <mergeCell ref="A42:F42"/>
    <mergeCell ref="G41:AH43"/>
    <mergeCell ref="A44:E45"/>
    <mergeCell ref="F44:AH46"/>
    <mergeCell ref="A36:I36"/>
    <mergeCell ref="J36:AD36"/>
    <mergeCell ref="A37:H37"/>
    <mergeCell ref="I37:AD37"/>
    <mergeCell ref="A38:J38"/>
    <mergeCell ref="K38:V38"/>
    <mergeCell ref="W38:AB38"/>
    <mergeCell ref="AC38:AH38"/>
    <mergeCell ref="P11:R11"/>
    <mergeCell ref="S11:V11"/>
    <mergeCell ref="AC4:AH5"/>
    <mergeCell ref="A7:S7"/>
    <mergeCell ref="A32:AH32"/>
    <mergeCell ref="A34:I34"/>
    <mergeCell ref="L34:X34"/>
    <mergeCell ref="A35:K35"/>
    <mergeCell ref="L35:AH35"/>
    <mergeCell ref="U7:AA7"/>
    <mergeCell ref="AC7:AH7"/>
    <mergeCell ref="A9:AH9"/>
    <mergeCell ref="A30:M30"/>
    <mergeCell ref="N30:U30"/>
    <mergeCell ref="V30:Y30"/>
    <mergeCell ref="Z30:AH30"/>
    <mergeCell ref="A31:Y31"/>
    <mergeCell ref="Z31:AH31"/>
    <mergeCell ref="W13:X13"/>
    <mergeCell ref="Y13:AA13"/>
    <mergeCell ref="W11:X11"/>
    <mergeCell ref="A14:G14"/>
    <mergeCell ref="A13:G13"/>
    <mergeCell ref="A18:G18"/>
    <mergeCell ref="H18:O18"/>
    <mergeCell ref="P18:R18"/>
    <mergeCell ref="S18:V18"/>
    <mergeCell ref="W18:X18"/>
    <mergeCell ref="Y18:AA18"/>
    <mergeCell ref="B1:C2"/>
    <mergeCell ref="L1:AB1"/>
    <mergeCell ref="U2:Z3"/>
    <mergeCell ref="A4:P5"/>
    <mergeCell ref="U4:AA5"/>
    <mergeCell ref="A17:G17"/>
    <mergeCell ref="H17:O17"/>
    <mergeCell ref="P17:R17"/>
    <mergeCell ref="S17:V17"/>
    <mergeCell ref="W17:X17"/>
    <mergeCell ref="Y17:AA17"/>
    <mergeCell ref="Y11:AA11"/>
    <mergeCell ref="A10:Q10"/>
    <mergeCell ref="A11:G11"/>
    <mergeCell ref="H11:O11"/>
    <mergeCell ref="A20:G20"/>
    <mergeCell ref="H20:O20"/>
    <mergeCell ref="P20:R20"/>
    <mergeCell ref="S20:V20"/>
    <mergeCell ref="W20:X20"/>
    <mergeCell ref="Y20:AA20"/>
    <mergeCell ref="A19:G19"/>
    <mergeCell ref="H19:O19"/>
    <mergeCell ref="P19:R19"/>
    <mergeCell ref="S19:V19"/>
    <mergeCell ref="W19:X19"/>
    <mergeCell ref="Y19:AA19"/>
    <mergeCell ref="A22:G22"/>
    <mergeCell ref="H22:O22"/>
    <mergeCell ref="P22:R22"/>
    <mergeCell ref="S22:V22"/>
    <mergeCell ref="W22:X22"/>
    <mergeCell ref="Y22:AA22"/>
    <mergeCell ref="A21:G21"/>
    <mergeCell ref="H21:O21"/>
    <mergeCell ref="P21:R21"/>
    <mergeCell ref="S21:V21"/>
    <mergeCell ref="W21:X21"/>
    <mergeCell ref="Y21:AA21"/>
  </mergeCells>
  <phoneticPr fontId="14" type="noConversion"/>
  <pageMargins left="0.2" right="0.2" top="0.2" bottom="0.2" header="0" footer="0"/>
  <pageSetup paperSize="9" scale="83"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2026-05-23T09:47:11Z</cp:lastPrinted>
  <dcterms:created xsi:type="dcterms:W3CDTF">2026-04-13T03:31:36Z</dcterms:created>
  <dcterms:modified xsi:type="dcterms:W3CDTF">2026-07-14T09:21:57Z</dcterms:modified>
</cp:coreProperties>
</file>