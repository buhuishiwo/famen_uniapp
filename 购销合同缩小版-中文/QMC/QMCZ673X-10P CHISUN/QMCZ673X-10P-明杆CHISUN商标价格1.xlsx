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192.168.1.199\销售设计共用\销售用总装图\报价图纸\缩小版-中文\QMC\QMCZ673X-10P CHISUN\"/>
    </mc:Choice>
  </mc:AlternateContent>
  <xr:revisionPtr revIDLastSave="0" documentId="13_ncr:1_{D80A5720-273F-4EDB-AF86-787C4E9DE61E}" xr6:coauthVersionLast="47" xr6:coauthVersionMax="47" xr10:uidLastSave="{00000000-0000-0000-0000-000000000000}"/>
  <bookViews>
    <workbookView xWindow="-120" yWindow="-120" windowWidth="29040" windowHeight="15840" xr2:uid="{00000000-000D-0000-FFFF-FFFF00000000}"/>
  </bookViews>
  <sheets>
    <sheet name="Page1" sheetId="1" r:id="rId1"/>
  </sheets>
  <definedNames>
    <definedName name="_xlnm.Print_Area" localSheetId="0">Page1!$A$2:$AK$52</definedName>
  </definedNames>
  <calcPr calcId="181029"/>
</workbook>
</file>

<file path=xl/calcChain.xml><?xml version="1.0" encoding="utf-8"?>
<calcChain xmlns="http://schemas.openxmlformats.org/spreadsheetml/2006/main">
  <c r="AD25" i="1" l="1"/>
  <c r="AD24" i="1"/>
  <c r="AD23" i="1"/>
  <c r="AD22" i="1"/>
  <c r="AD21" i="1"/>
  <c r="AD20" i="1"/>
  <c r="AD19" i="1"/>
  <c r="AD18" i="1"/>
  <c r="AD17" i="1"/>
  <c r="AD16" i="1"/>
  <c r="AD15" i="1"/>
  <c r="AD14" i="1"/>
  <c r="AD13" i="1"/>
</calcChain>
</file>

<file path=xl/sharedStrings.xml><?xml version="1.0" encoding="utf-8"?>
<sst xmlns="http://schemas.openxmlformats.org/spreadsheetml/2006/main" count="145" uniqueCount="92">
  <si>
    <t>奇 胜 阀 门 有 限 公 司（CHISUN商标）</t>
  </si>
  <si>
    <t>购销合同</t>
  </si>
  <si>
    <t>甲方（供方）：奇胜阀门有限公司</t>
  </si>
  <si>
    <r>
      <rPr>
        <sz val="8"/>
        <color rgb="FF000000"/>
        <rFont val="宋体"/>
        <family val="3"/>
        <charset val="134"/>
      </rPr>
      <t>合同编号：</t>
    </r>
    <r>
      <rPr>
        <sz val="8"/>
        <color rgb="FFFF0000"/>
        <rFont val="宋体"/>
        <family val="3"/>
        <charset val="134"/>
      </rPr>
      <t>XXXXXXXX</t>
    </r>
  </si>
  <si>
    <r>
      <rPr>
        <sz val="8"/>
        <color rgb="FF000000"/>
        <rFont val="宋体"/>
        <family val="3"/>
        <charset val="134"/>
      </rPr>
      <t>乙方（需方）：</t>
    </r>
    <r>
      <rPr>
        <sz val="8"/>
        <color rgb="FFFF0000"/>
        <rFont val="宋体"/>
        <family val="3"/>
        <charset val="134"/>
      </rPr>
      <t>XXXXXXXX</t>
    </r>
  </si>
  <si>
    <t>合同签订地：温州市龙湾区</t>
  </si>
  <si>
    <t>依据《中华人民共和国民法典》之规定，甲、乙双方经充分协商，本着平等互利原则，就购销事宜达成如下协议：</t>
  </si>
  <si>
    <t>1、品名、规格、数量、价格、总额</t>
  </si>
  <si>
    <t>产品名称      product name</t>
  </si>
  <si>
    <t>型号    model</t>
  </si>
  <si>
    <t>规格specification</t>
  </si>
  <si>
    <t>材质 texture</t>
  </si>
  <si>
    <t>闸板厚度Gate plate thickness</t>
  </si>
  <si>
    <t>单位unit</t>
  </si>
  <si>
    <t>起订量MOQ(A)</t>
  </si>
  <si>
    <t>单价（≥A）</t>
  </si>
  <si>
    <t>单价（&lt;A）</t>
  </si>
  <si>
    <t>最高承压（BAR）</t>
  </si>
  <si>
    <t>单重（KG）</t>
  </si>
  <si>
    <t>圈数Laps</t>
  </si>
  <si>
    <t>扭矩N.M</t>
  </si>
  <si>
    <t>木箱尺寸（CM）</t>
  </si>
  <si>
    <t>伞齿轮连接型号Bevel Gear Coupling Model</t>
  </si>
  <si>
    <t>双向明杆气动刀闸阀</t>
  </si>
  <si>
    <t>QMCZ673X-10P</t>
  </si>
  <si>
    <r>
      <rPr>
        <sz val="8"/>
        <color rgb="FF000000"/>
        <rFont val="宋体"/>
        <family val="3"/>
        <charset val="134"/>
      </rPr>
      <t>DN</t>
    </r>
    <r>
      <rPr>
        <sz val="8"/>
        <color rgb="FF000000"/>
        <rFont val="宋体"/>
        <family val="3"/>
        <charset val="134"/>
      </rPr>
      <t>50</t>
    </r>
  </si>
  <si>
    <t>CF8</t>
  </si>
  <si>
    <t>台</t>
  </si>
  <si>
    <r>
      <rPr>
        <sz val="8"/>
        <color rgb="FF000000"/>
        <rFont val="宋体"/>
        <family val="3"/>
        <charset val="134"/>
      </rPr>
      <t>DN</t>
    </r>
    <r>
      <rPr>
        <sz val="8"/>
        <color rgb="FF000000"/>
        <rFont val="宋体"/>
        <family val="3"/>
        <charset val="134"/>
      </rPr>
      <t>65</t>
    </r>
  </si>
  <si>
    <t>DN80</t>
  </si>
  <si>
    <r>
      <rPr>
        <sz val="8"/>
        <color rgb="FF000000"/>
        <rFont val="宋体"/>
        <family val="3"/>
        <charset val="134"/>
      </rPr>
      <t>DN</t>
    </r>
    <r>
      <rPr>
        <sz val="8"/>
        <color rgb="FF000000"/>
        <rFont val="宋体"/>
        <family val="3"/>
        <charset val="134"/>
      </rPr>
      <t>100</t>
    </r>
  </si>
  <si>
    <r>
      <rPr>
        <sz val="8"/>
        <color rgb="FF000000"/>
        <rFont val="宋体"/>
        <family val="3"/>
        <charset val="134"/>
      </rPr>
      <t>DN</t>
    </r>
    <r>
      <rPr>
        <sz val="8"/>
        <color rgb="FF000000"/>
        <rFont val="宋体"/>
        <family val="3"/>
        <charset val="134"/>
      </rPr>
      <t>125</t>
    </r>
  </si>
  <si>
    <t>DN150</t>
  </si>
  <si>
    <t>DN200</t>
  </si>
  <si>
    <t>DN250</t>
  </si>
  <si>
    <t>DN300</t>
  </si>
  <si>
    <t>DN350</t>
  </si>
  <si>
    <t>DN400</t>
  </si>
  <si>
    <t>DN450</t>
  </si>
  <si>
    <t>DN500</t>
  </si>
  <si>
    <t>不含税金额（元）：</t>
  </si>
  <si>
    <t>税额（元）：</t>
  </si>
  <si>
    <t>税率：13%</t>
  </si>
  <si>
    <t>价税合计（大写）：</t>
  </si>
  <si>
    <t>价税合计（小写）：元</t>
  </si>
  <si>
    <t>备注：本合同约定的不含税金额，不因国家税率的变化而变化，在合同履行期间，如因国家税率调整，则含税单价做相应调整，开具发票时的税率为准！</t>
  </si>
  <si>
    <t>2、产品质量保质期及验收：</t>
  </si>
  <si>
    <t>自出厂之日起十二个月。货物送达后，乙方应在收到产品之日起三日内根据订单所列内容对产品进行现场检验、确认，若无异议，乙方应在甲方提供的出库单、销售单或者相应物流凭证上加盖公司印章或签字；若乙方在收到产品之日起三日内未对产品进行验收，视为验收合格。</t>
  </si>
  <si>
    <t>3、交（提）货方式及时间：</t>
  </si>
  <si>
    <t>XXXXXXXXXXXXX，运输方式及到达港和费用负担，由供方负责代办，送货到需方工厂或指定点，运输费用需方承担</t>
  </si>
  <si>
    <t>4、产品包装与结算方式：</t>
  </si>
  <si>
    <t>国内木箱，含增值税发票，合同签订3日内支付30%定金，余款付清后发货；乙方付清余款之前，甲方保留对合同产品的所有权。</t>
  </si>
  <si>
    <t>5、提出异议期限与争议解决：</t>
  </si>
  <si>
    <t>货到三天内提出异议，如果执行器为本公司配置，在保质期内会进行售后服务。本合同履行过程发生争议的，由双方友好解决，协商不成时可向温州市龙湾区人民法院提起民事诉讼</t>
  </si>
  <si>
    <t>6、违约责任：</t>
  </si>
  <si>
    <t>1、甲、乙双方应严格履行本合同全部约定，任何一方不履行或者不完全履行的，应承担相应的违约责任。2、若乙方逾期付款的，在甲方通知乙方完成订单后，乙方必须在15日内支付余款给甲方。每逾期一日，乙方应向甲方支付合同总金额的1%日违约金；乙方逾期付款超过30日，按合同履行不能处理，本协议终止，甲方没收定金，并对合同产品进行变卖处理。</t>
  </si>
  <si>
    <t>7、生效条款与其他约定事项：</t>
  </si>
  <si>
    <t>本合同一式两份，甲乙双方各执一份，自双方签字盖章之日起生效，附产品总装图一份仅供参考，材质等特别要求在合同上注明。</t>
  </si>
  <si>
    <t>备注：</t>
  </si>
  <si>
    <t>供方</t>
  </si>
  <si>
    <t>需方</t>
  </si>
  <si>
    <t>单位名称（章）：奇胜阀门有限公司</t>
  </si>
  <si>
    <r>
      <rPr>
        <sz val="8"/>
        <color rgb="FF000000"/>
        <rFont val="宋体"/>
        <family val="3"/>
        <charset val="134"/>
      </rPr>
      <t>单位名称（章）：</t>
    </r>
    <r>
      <rPr>
        <sz val="8"/>
        <color rgb="FFFF0000"/>
        <rFont val="宋体"/>
        <family val="3"/>
        <charset val="134"/>
      </rPr>
      <t>XXXXXXXXXXX</t>
    </r>
  </si>
  <si>
    <t>单位地址：温州市龙湾区空港新区兴宇路8号</t>
  </si>
  <si>
    <r>
      <rPr>
        <sz val="8"/>
        <color rgb="FF000000"/>
        <rFont val="宋体"/>
        <family val="3"/>
        <charset val="134"/>
      </rPr>
      <t>单位地址：</t>
    </r>
    <r>
      <rPr>
        <sz val="8"/>
        <color rgb="FFFF0000"/>
        <rFont val="宋体"/>
        <family val="3"/>
        <charset val="134"/>
      </rPr>
      <t>XXXXXXXX</t>
    </r>
  </si>
  <si>
    <t>法定代表：   姜日静         审核人：</t>
  </si>
  <si>
    <t>法定代表：</t>
  </si>
  <si>
    <t>开户银行：浙江温州龙湾农村商业银行股份有限公司永兴支行兴中分理处</t>
  </si>
  <si>
    <t>邮编：325013</t>
  </si>
  <si>
    <t>开户银行：</t>
  </si>
  <si>
    <t>账号：201000223870527</t>
  </si>
  <si>
    <t>账号：</t>
  </si>
  <si>
    <t>电话：0577-86616200</t>
  </si>
  <si>
    <r>
      <rPr>
        <sz val="8"/>
        <color rgb="FF000000"/>
        <rFont val="宋体"/>
        <family val="3"/>
        <charset val="134"/>
      </rPr>
      <t>电话：</t>
    </r>
    <r>
      <rPr>
        <sz val="8"/>
        <color rgb="FFFF0000"/>
        <rFont val="宋体"/>
        <family val="3"/>
        <charset val="134"/>
      </rPr>
      <t>XXXXXXX</t>
    </r>
  </si>
  <si>
    <t>外贸电话：0577-86852611  86623866</t>
  </si>
  <si>
    <t>外贸电话：</t>
  </si>
  <si>
    <t>传真：0577-89735553         Email：</t>
  </si>
  <si>
    <t>传真：        Email：</t>
  </si>
  <si>
    <t>委托代理人：姜销</t>
  </si>
  <si>
    <r>
      <rPr>
        <sz val="8"/>
        <color rgb="FF000000"/>
        <rFont val="宋体"/>
        <family val="3"/>
        <charset val="134"/>
      </rPr>
      <t>委托代理人：</t>
    </r>
    <r>
      <rPr>
        <sz val="8"/>
        <color rgb="FFFF0000"/>
        <rFont val="宋体"/>
        <family val="3"/>
        <charset val="134"/>
      </rPr>
      <t>XXXXX</t>
    </r>
  </si>
  <si>
    <r>
      <rPr>
        <sz val="8"/>
        <color rgb="FF000000"/>
        <rFont val="宋体"/>
        <family val="3"/>
        <charset val="134"/>
      </rPr>
      <t>签订日期：2026年</t>
    </r>
    <r>
      <rPr>
        <sz val="8"/>
        <color rgb="FF000000"/>
        <rFont val="宋体"/>
        <family val="3"/>
        <charset val="134"/>
      </rPr>
      <t xml:space="preserve">   </t>
    </r>
    <r>
      <rPr>
        <sz val="8"/>
        <color rgb="FF000000"/>
        <rFont val="宋体"/>
        <family val="3"/>
        <charset val="134"/>
      </rPr>
      <t>月</t>
    </r>
    <r>
      <rPr>
        <sz val="8"/>
        <color rgb="FF000000"/>
        <rFont val="宋体"/>
        <family val="3"/>
        <charset val="134"/>
      </rPr>
      <t xml:space="preserve">   </t>
    </r>
    <r>
      <rPr>
        <sz val="8"/>
        <color rgb="FF000000"/>
        <rFont val="宋体"/>
        <family val="3"/>
        <charset val="134"/>
      </rPr>
      <t>日</t>
    </r>
  </si>
  <si>
    <r>
      <rPr>
        <sz val="8"/>
        <color rgb="FF000000"/>
        <rFont val="宋体"/>
        <family val="3"/>
        <charset val="134"/>
      </rPr>
      <t>签订日期：</t>
    </r>
    <r>
      <rPr>
        <sz val="8"/>
        <color rgb="FFFF0000"/>
        <rFont val="宋体"/>
        <family val="3"/>
        <charset val="134"/>
      </rPr>
      <t>2026年   月   日</t>
    </r>
  </si>
  <si>
    <t>合同未签订有限期为：自制单日期起十五日内，复印件与原件具有同等法律效力。</t>
  </si>
  <si>
    <t>112*101*82</t>
  </si>
  <si>
    <t>135*122*71</t>
    <phoneticPr fontId="16" type="noConversion"/>
  </si>
  <si>
    <t>151*100*74</t>
    <phoneticPr fontId="16" type="noConversion"/>
  </si>
  <si>
    <t>165*95*100</t>
    <phoneticPr fontId="16" type="noConversion"/>
  </si>
  <si>
    <t>170*95*105</t>
    <phoneticPr fontId="16" type="noConversion"/>
  </si>
  <si>
    <t>185*105*110</t>
    <phoneticPr fontId="16" type="noConversion"/>
  </si>
  <si>
    <t>215*120*110</t>
    <phoneticPr fontId="16" type="noConversion"/>
  </si>
  <si>
    <t>218*120*110</t>
    <phoneticPr fontId="16" type="noConversion"/>
  </si>
  <si>
    <t>含税不含运费。体CF8。板304，橡胶密封双向密封，气动包含气缸，无三联件，法兰按PN10，实际工作压力50-200的10kg,250-400的7kg,，450-600的5kg,700-1000的2kg,</t>
    <phoneticPr fontId="1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</si>
</sst>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8" formatCode="0_);[Red]\(0\)"/>
  </numFmts>
  <fonts count="17" x14ac:knownFonts="1">
    <font>
      <sz val="9"/>
      <color rgb="FF000000"/>
      <name val="宋体"/>
      <charset val="134"/>
    </font>
    <font>
      <sz val="14"/>
      <color rgb="FF000000"/>
      <name val="宋体"/>
      <family val="3"/>
      <charset val="134"/>
    </font>
    <font>
      <sz val="8"/>
      <color rgb="FF000000"/>
      <name val="宋体"/>
      <family val="3"/>
      <charset val="134"/>
    </font>
    <font>
      <b/>
      <sz val="8"/>
      <color rgb="FF000000"/>
      <name val="宋体"/>
      <family val="3"/>
      <charset val="134"/>
    </font>
    <font>
      <b/>
      <sz val="9"/>
      <color rgb="FF000000"/>
      <name val="宋体"/>
      <family val="3"/>
      <charset val="134"/>
    </font>
    <font>
      <sz val="8"/>
      <name val="宋体"/>
      <family val="3"/>
      <charset val="134"/>
    </font>
    <font>
      <b/>
      <sz val="8"/>
      <name val="宋体"/>
      <family val="3"/>
      <charset val="134"/>
    </font>
    <font>
      <b/>
      <sz val="12"/>
      <color theme="1"/>
      <name val="宋体"/>
      <family val="3"/>
      <charset val="134"/>
    </font>
    <font>
      <b/>
      <sz val="8"/>
      <color theme="1"/>
      <name val="宋体"/>
      <family val="3"/>
      <charset val="134"/>
    </font>
    <font>
      <u/>
      <sz val="8"/>
      <color rgb="FF000000"/>
      <name val="宋体"/>
      <family val="3"/>
      <charset val="134"/>
    </font>
    <font>
      <u/>
      <sz val="8"/>
      <color rgb="FFFF0000"/>
      <name val="宋体"/>
      <family val="3"/>
      <charset val="134"/>
    </font>
    <font>
      <sz val="10"/>
      <color rgb="FF000000"/>
      <name val="宋体"/>
      <family val="3"/>
      <charset val="134"/>
    </font>
    <font>
      <sz val="8"/>
      <color rgb="FFFF0000"/>
      <name val="宋体"/>
      <family val="3"/>
      <charset val="134"/>
    </font>
    <font>
      <sz val="12"/>
      <name val="宋体"/>
      <family val="3"/>
      <charset val="134"/>
    </font>
    <font>
      <sz val="9"/>
      <color rgb="FF000000"/>
      <name val="宋体"/>
      <family val="3"/>
      <charset val="134"/>
    </font>
    <font>
      <b/>
      <sz val="8"/>
      <color theme="1"/>
      <name val="宋体"/>
      <family val="3"/>
      <charset val="134"/>
      <scheme val="minor"/>
    </font>
    <font>
      <sz val="9"/>
      <name val="宋体"/>
      <family val="3"/>
      <charset val="134"/>
    </font>
  </fonts>
  <fills count="4">
    <fill>
      <patternFill patternType="none"/>
    </fill>
    <fill>
      <patternFill patternType="gray125"/>
    </fill>
    <fill>
      <patternFill patternType="solid">
        <fgColor rgb="FFFFFFFF"/>
        <bgColor indexed="64"/>
      </patternFill>
    </fill>
    <fill>
      <patternFill patternType="solid">
        <fgColor theme="0"/>
        <bgColor indexed="64"/>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3">
    <xf numFmtId="0" fontId="0" fillId="0" borderId="0"/>
    <xf numFmtId="0" fontId="14" fillId="0" borderId="0"/>
    <xf numFmtId="0" fontId="13" fillId="0" borderId="0">
      <alignment vertical="center"/>
    </xf>
  </cellStyleXfs>
  <cellXfs count="47">
    <xf numFmtId="0" fontId="0" fillId="2" borderId="0" xfId="0" applyFill="1" applyAlignment="1">
      <alignment horizontal="left" vertical="top" wrapText="1"/>
    </xf>
    <xf numFmtId="0" fontId="2" fillId="2" borderId="0" xfId="0" applyFont="1" applyFill="1" applyAlignment="1">
      <alignment horizontal="left" vertical="center" wrapText="1"/>
    </xf>
    <xf numFmtId="0" fontId="3" fillId="2" borderId="1" xfId="0" applyFont="1" applyFill="1" applyBorder="1" applyAlignment="1">
      <alignment horizontal="center" vertical="center" wrapText="1"/>
    </xf>
    <xf numFmtId="0" fontId="4" fillId="0" borderId="2" xfId="0" applyFont="1" applyBorder="1" applyAlignment="1">
      <alignment horizontal="center" vertical="center" wrapText="1"/>
    </xf>
    <xf numFmtId="0" fontId="4"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3" borderId="4"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178" fontId="7" fillId="3" borderId="2" xfId="0" applyNumberFormat="1" applyFont="1" applyFill="1" applyBorder="1" applyAlignment="1">
      <alignment horizontal="center" vertical="center"/>
    </xf>
    <xf numFmtId="178" fontId="8" fillId="3" borderId="2" xfId="0" applyNumberFormat="1" applyFont="1" applyFill="1" applyBorder="1" applyAlignment="1">
      <alignment horizontal="center" vertical="center"/>
    </xf>
    <xf numFmtId="178" fontId="5" fillId="3" borderId="2" xfId="2" applyNumberFormat="1" applyFont="1" applyFill="1" applyBorder="1" applyAlignment="1">
      <alignment horizontal="center" vertical="center" wrapText="1"/>
    </xf>
    <xf numFmtId="178" fontId="5" fillId="3" borderId="2" xfId="0" applyNumberFormat="1" applyFont="1" applyFill="1" applyBorder="1" applyAlignment="1">
      <alignment horizontal="center" vertical="center"/>
    </xf>
    <xf numFmtId="0" fontId="7" fillId="3" borderId="2" xfId="0" applyFont="1" applyFill="1" applyBorder="1" applyAlignment="1">
      <alignment horizontal="center" vertical="center"/>
    </xf>
    <xf numFmtId="0" fontId="8" fillId="3" borderId="2" xfId="0" applyFont="1" applyFill="1" applyBorder="1" applyAlignment="1">
      <alignment horizontal="center" vertical="center"/>
    </xf>
    <xf numFmtId="0" fontId="8" fillId="3" borderId="0" xfId="0" applyFont="1" applyFill="1" applyAlignment="1">
      <alignment horizontal="center" vertical="center"/>
    </xf>
    <xf numFmtId="0" fontId="9" fillId="2" borderId="0" xfId="0" applyFont="1" applyFill="1" applyAlignment="1">
      <alignment horizontal="left" vertical="center" wrapText="1"/>
    </xf>
    <xf numFmtId="0" fontId="9" fillId="2" borderId="0" xfId="0" applyFont="1" applyFill="1" applyAlignment="1">
      <alignment vertical="center" wrapText="1"/>
    </xf>
    <xf numFmtId="0" fontId="1" fillId="2" borderId="0" xfId="0" applyFont="1" applyFill="1" applyAlignment="1">
      <alignment horizontal="center" vertical="center" wrapText="1"/>
    </xf>
    <xf numFmtId="0" fontId="2" fillId="2" borderId="0" xfId="0" applyFont="1" applyFill="1" applyAlignment="1">
      <alignment horizontal="left" vertical="center" wrapText="1"/>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2" borderId="2" xfId="0" applyFill="1" applyBorder="1" applyAlignment="1">
      <alignment horizontal="center" vertical="top" wrapText="1"/>
    </xf>
    <xf numFmtId="39" fontId="2" fillId="2" borderId="1" xfId="0" applyNumberFormat="1" applyFont="1" applyFill="1" applyBorder="1" applyAlignment="1">
      <alignment horizontal="left" vertical="center" wrapText="1"/>
    </xf>
    <xf numFmtId="39" fontId="2" fillId="2" borderId="1" xfId="0" applyNumberFormat="1" applyFont="1" applyFill="1" applyBorder="1" applyAlignment="1">
      <alignment horizontal="center" vertical="center" wrapText="1"/>
    </xf>
    <xf numFmtId="0" fontId="2" fillId="2" borderId="6" xfId="0" applyFont="1" applyFill="1" applyBorder="1" applyAlignment="1">
      <alignment horizontal="center" vertical="center" wrapText="1"/>
    </xf>
    <xf numFmtId="37" fontId="2" fillId="2" borderId="1" xfId="0" applyNumberFormat="1" applyFont="1" applyFill="1" applyBorder="1" applyAlignment="1">
      <alignment horizontal="left" vertical="center" wrapText="1"/>
    </xf>
    <xf numFmtId="37" fontId="2" fillId="2" borderId="1" xfId="0" applyNumberFormat="1"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2" fillId="2" borderId="8" xfId="0" applyFont="1" applyFill="1" applyBorder="1" applyAlignment="1">
      <alignment horizontal="center" vertical="center" wrapText="1"/>
    </xf>
    <xf numFmtId="0" fontId="9" fillId="2" borderId="0" xfId="0" applyFont="1" applyFill="1" applyAlignment="1">
      <alignment horizontal="left" vertical="center" wrapText="1"/>
    </xf>
    <xf numFmtId="0" fontId="10" fillId="2" borderId="0" xfId="0" applyFont="1" applyFill="1" applyAlignment="1">
      <alignment horizontal="left" vertical="center" wrapText="1"/>
    </xf>
    <xf numFmtId="0" fontId="9" fillId="2" borderId="0" xfId="0" applyFont="1" applyFill="1" applyAlignment="1">
      <alignment vertical="center" wrapText="1"/>
    </xf>
    <xf numFmtId="0" fontId="11" fillId="2" borderId="0" xfId="0" applyFont="1" applyFill="1" applyAlignment="1">
      <alignment horizontal="center" vertical="center" wrapText="1"/>
    </xf>
    <xf numFmtId="0" fontId="12" fillId="2" borderId="0" xfId="0" applyFont="1" applyFill="1" applyAlignment="1">
      <alignment horizontal="left" vertical="center" wrapText="1"/>
    </xf>
    <xf numFmtId="0" fontId="2" fillId="2" borderId="2" xfId="0" applyFont="1" applyFill="1" applyBorder="1" applyAlignment="1">
      <alignment horizontal="left" vertical="center" wrapText="1"/>
    </xf>
    <xf numFmtId="0" fontId="2" fillId="2" borderId="2" xfId="0" applyFont="1" applyFill="1" applyBorder="1" applyAlignment="1">
      <alignment vertical="center" wrapText="1"/>
    </xf>
    <xf numFmtId="0" fontId="2" fillId="2" borderId="0" xfId="0" applyFont="1" applyFill="1" applyAlignment="1">
      <alignment horizontal="left" vertical="top" wrapText="1"/>
    </xf>
    <xf numFmtId="0" fontId="0" fillId="2" borderId="0" xfId="0" applyFill="1" applyAlignment="1">
      <alignment horizontal="left" vertical="center" wrapText="1"/>
    </xf>
    <xf numFmtId="0" fontId="0" fillId="2" borderId="0" xfId="0" applyFill="1" applyAlignment="1">
      <alignment horizontal="left" vertical="top" wrapText="1"/>
    </xf>
    <xf numFmtId="0" fontId="2" fillId="2" borderId="0" xfId="0" applyFont="1" applyFill="1" applyAlignment="1">
      <alignment horizontal="center" vertical="center" wrapText="1"/>
    </xf>
    <xf numFmtId="0" fontId="15" fillId="3" borderId="5" xfId="0" applyFont="1" applyFill="1" applyBorder="1" applyAlignment="1">
      <alignment horizontal="center" vertical="center"/>
    </xf>
    <xf numFmtId="0" fontId="8" fillId="2" borderId="1" xfId="1" applyFont="1" applyFill="1" applyBorder="1" applyAlignment="1">
      <alignment horizontal="center" vertical="center" wrapText="1"/>
    </xf>
    <xf numFmtId="0" fontId="8" fillId="2" borderId="5" xfId="1" applyFont="1" applyFill="1" applyBorder="1" applyAlignment="1">
      <alignment horizontal="center" vertical="center" wrapText="1"/>
    </xf>
  </cellXfs>
  <cellStyles count="3">
    <cellStyle name="常规" xfId="0" builtinId="0"/>
    <cellStyle name="常规 2" xfId="1" xr:uid="{00000000-0005-0000-0000-000031000000}"/>
    <cellStyle name="常规_QU-QC-V型球阀" xfId="2" xr:uid="{00000000-0005-0000-0000-00003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174171</xdr:colOff>
      <xdr:row>3</xdr:row>
      <xdr:rowOff>0</xdr:rowOff>
    </xdr:to>
    <xdr:pic>
      <xdr:nvPicPr>
        <xdr:cNvPr id="2" name="图片 1" descr="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71450" y="57150"/>
          <a:ext cx="764540" cy="52197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D54"/>
  <sheetViews>
    <sheetView tabSelected="1" topLeftCell="A29" zoomScale="175" zoomScaleNormal="175" workbookViewId="0">
      <selection activeCell="E35" sqref="E35:AH37"/>
    </sheetView>
  </sheetViews>
  <sheetFormatPr defaultColWidth="9" defaultRowHeight="11.25" x14ac:dyDescent="0.15"/>
  <cols>
    <col min="1" max="1" width="3" customWidth="1"/>
    <col min="2" max="2" width="1.5" customWidth="1"/>
    <col min="3" max="3" width="6.83203125" customWidth="1"/>
    <col min="4" max="4" width="1.5" customWidth="1"/>
    <col min="5" max="5" width="0.1640625" customWidth="1"/>
    <col min="6" max="6" width="0.33203125" customWidth="1"/>
    <col min="7" max="7" width="4" customWidth="1"/>
    <col min="8" max="8" width="1.5" customWidth="1"/>
    <col min="9" max="9" width="0.5" customWidth="1"/>
    <col min="10" max="10" width="1.5" customWidth="1"/>
    <col min="11" max="11" width="3" customWidth="1"/>
    <col min="12" max="15" width="1.5" customWidth="1"/>
    <col min="16" max="16" width="4.6640625" customWidth="1"/>
    <col min="17" max="17" width="3.83203125" customWidth="1"/>
    <col min="18" max="21" width="1.5" customWidth="1"/>
    <col min="22" max="22" width="3.6640625" customWidth="1"/>
    <col min="23" max="23" width="0.83203125" customWidth="1"/>
    <col min="24" max="24" width="3.6640625" customWidth="1"/>
    <col min="25" max="25" width="6" customWidth="1"/>
    <col min="26" max="26" width="3" customWidth="1"/>
    <col min="27" max="27" width="1.5" customWidth="1"/>
    <col min="28" max="28" width="4.6640625" customWidth="1"/>
    <col min="29" max="29" width="9.33203125" customWidth="1"/>
    <col min="30" max="30" width="8.1640625" customWidth="1"/>
    <col min="31" max="32" width="7.83203125" customWidth="1"/>
    <col min="33" max="33" width="6.6640625" customWidth="1"/>
    <col min="34" max="34" width="8.6640625" customWidth="1"/>
    <col min="35" max="35" width="12.1640625" customWidth="1"/>
    <col min="36" max="36" width="7.1640625" customWidth="1"/>
    <col min="37" max="37" width="7.33203125" customWidth="1"/>
    <col min="38" max="38" width="10" customWidth="1"/>
    <col min="39" max="39" width="11.6640625" customWidth="1"/>
  </cols>
  <sheetData>
    <row r="1" spans="1:37" ht="4.5" customHeight="1" x14ac:dyDescent="0.15"/>
    <row r="2" spans="1:37" ht="27.4" customHeight="1" x14ac:dyDescent="0.15">
      <c r="B2" s="42"/>
      <c r="C2" s="42"/>
      <c r="L2" s="19" t="s">
        <v>0</v>
      </c>
      <c r="M2" s="19"/>
      <c r="N2" s="19"/>
      <c r="O2" s="19"/>
      <c r="P2" s="19"/>
      <c r="Q2" s="19"/>
      <c r="R2" s="19"/>
      <c r="S2" s="19"/>
      <c r="T2" s="19"/>
      <c r="U2" s="19"/>
      <c r="V2" s="19"/>
      <c r="W2" s="19"/>
      <c r="X2" s="19"/>
      <c r="Y2" s="19"/>
      <c r="Z2" s="19"/>
      <c r="AA2" s="19"/>
      <c r="AB2" s="19"/>
      <c r="AC2" s="19"/>
      <c r="AD2" s="19"/>
      <c r="AE2" s="19"/>
      <c r="AF2" s="19"/>
      <c r="AG2" s="19"/>
      <c r="AH2" s="19"/>
    </row>
    <row r="3" spans="1:37" ht="13.7" customHeight="1" x14ac:dyDescent="0.15">
      <c r="B3" s="42"/>
      <c r="C3" s="42"/>
      <c r="U3" s="43" t="s">
        <v>1</v>
      </c>
      <c r="V3" s="43"/>
      <c r="W3" s="43"/>
      <c r="X3" s="43"/>
      <c r="Y3" s="43"/>
      <c r="Z3" s="43"/>
    </row>
    <row r="4" spans="1:37" ht="4.3499999999999996" customHeight="1" x14ac:dyDescent="0.15">
      <c r="U4" s="43"/>
      <c r="V4" s="43"/>
      <c r="W4" s="43"/>
      <c r="X4" s="43"/>
      <c r="Y4" s="43"/>
      <c r="Z4" s="43"/>
    </row>
    <row r="5" spans="1:37" ht="2.65" customHeight="1" x14ac:dyDescent="0.15">
      <c r="A5" s="20" t="s">
        <v>2</v>
      </c>
      <c r="B5" s="20"/>
      <c r="C5" s="20"/>
      <c r="D5" s="20"/>
      <c r="E5" s="20"/>
      <c r="F5" s="20"/>
      <c r="G5" s="20"/>
      <c r="H5" s="20"/>
      <c r="I5" s="20"/>
      <c r="J5" s="20"/>
      <c r="K5" s="20"/>
      <c r="L5" s="20"/>
      <c r="M5" s="20"/>
      <c r="N5" s="20"/>
      <c r="O5" s="20"/>
      <c r="P5" s="20"/>
      <c r="U5" s="20" t="s">
        <v>3</v>
      </c>
      <c r="V5" s="20"/>
      <c r="W5" s="20"/>
      <c r="X5" s="20"/>
      <c r="Y5" s="20"/>
      <c r="Z5" s="20"/>
      <c r="AA5" s="20"/>
      <c r="AB5" s="20"/>
      <c r="AE5" s="20"/>
      <c r="AF5" s="20"/>
      <c r="AG5" s="20"/>
    </row>
    <row r="6" spans="1:37" ht="11.1" customHeight="1" x14ac:dyDescent="0.15">
      <c r="A6" s="20"/>
      <c r="B6" s="20"/>
      <c r="C6" s="20"/>
      <c r="D6" s="20"/>
      <c r="E6" s="20"/>
      <c r="F6" s="20"/>
      <c r="G6" s="20"/>
      <c r="H6" s="20"/>
      <c r="I6" s="20"/>
      <c r="J6" s="20"/>
      <c r="K6" s="20"/>
      <c r="L6" s="20"/>
      <c r="M6" s="20"/>
      <c r="N6" s="20"/>
      <c r="O6" s="20"/>
      <c r="P6" s="20"/>
      <c r="U6" s="20"/>
      <c r="V6" s="20"/>
      <c r="W6" s="20"/>
      <c r="X6" s="20"/>
      <c r="Y6" s="20"/>
      <c r="Z6" s="20"/>
      <c r="AA6" s="20"/>
      <c r="AB6" s="20"/>
      <c r="AE6" s="20"/>
      <c r="AF6" s="20"/>
      <c r="AG6" s="20"/>
    </row>
    <row r="7" spans="1:37" ht="2.65" customHeight="1" x14ac:dyDescent="0.15"/>
    <row r="8" spans="1:37" ht="13.7" customHeight="1" x14ac:dyDescent="0.15">
      <c r="A8" s="20" t="s">
        <v>4</v>
      </c>
      <c r="B8" s="20"/>
      <c r="C8" s="20"/>
      <c r="D8" s="20"/>
      <c r="E8" s="20"/>
      <c r="F8" s="20"/>
      <c r="G8" s="20"/>
      <c r="H8" s="20"/>
      <c r="I8" s="20"/>
      <c r="J8" s="20"/>
      <c r="K8" s="20"/>
      <c r="L8" s="20"/>
      <c r="M8" s="20"/>
      <c r="N8" s="20"/>
      <c r="O8" s="20"/>
      <c r="P8" s="20"/>
      <c r="Q8" s="20"/>
      <c r="R8" s="20"/>
      <c r="S8" s="20"/>
      <c r="U8" s="20" t="s">
        <v>5</v>
      </c>
      <c r="V8" s="20"/>
      <c r="W8" s="20"/>
      <c r="X8" s="20"/>
      <c r="Y8" s="20"/>
      <c r="Z8" s="20"/>
      <c r="AA8" s="20"/>
      <c r="AB8" s="20"/>
      <c r="AE8" s="20"/>
      <c r="AF8" s="20"/>
      <c r="AG8" s="20"/>
    </row>
    <row r="9" spans="1:37" ht="6.95" customHeight="1" x14ac:dyDescent="0.15"/>
    <row r="10" spans="1:37" ht="13.7" customHeight="1" x14ac:dyDescent="0.15">
      <c r="A10" s="20" t="s">
        <v>6</v>
      </c>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row>
    <row r="11" spans="1:37" ht="13.7" customHeight="1" x14ac:dyDescent="0.15">
      <c r="A11" s="20" t="s">
        <v>7</v>
      </c>
      <c r="B11" s="20"/>
      <c r="C11" s="20"/>
      <c r="D11" s="20"/>
      <c r="E11" s="20"/>
      <c r="F11" s="20"/>
      <c r="G11" s="20"/>
      <c r="H11" s="20"/>
      <c r="I11" s="20"/>
      <c r="J11" s="20"/>
      <c r="K11" s="20"/>
      <c r="L11" s="20"/>
      <c r="M11" s="20"/>
      <c r="N11" s="20"/>
      <c r="O11" s="20"/>
      <c r="P11" s="20"/>
      <c r="Q11" s="20"/>
    </row>
    <row r="12" spans="1:37" ht="43.5" customHeight="1" x14ac:dyDescent="0.15">
      <c r="A12" s="21" t="s">
        <v>8</v>
      </c>
      <c r="B12" s="21"/>
      <c r="C12" s="21"/>
      <c r="D12" s="21"/>
      <c r="E12" s="21"/>
      <c r="F12" s="21"/>
      <c r="G12" s="21"/>
      <c r="H12" s="21" t="s">
        <v>9</v>
      </c>
      <c r="I12" s="21"/>
      <c r="J12" s="21"/>
      <c r="K12" s="21"/>
      <c r="L12" s="21"/>
      <c r="M12" s="21"/>
      <c r="N12" s="21"/>
      <c r="O12" s="21"/>
      <c r="P12" s="21" t="s">
        <v>10</v>
      </c>
      <c r="Q12" s="21"/>
      <c r="R12" s="21"/>
      <c r="S12" s="21" t="s">
        <v>11</v>
      </c>
      <c r="T12" s="21"/>
      <c r="U12" s="21"/>
      <c r="V12" s="21"/>
      <c r="W12" s="21" t="s">
        <v>12</v>
      </c>
      <c r="X12" s="21"/>
      <c r="Y12" s="21"/>
      <c r="Z12" s="21" t="s">
        <v>13</v>
      </c>
      <c r="AA12" s="21"/>
      <c r="AB12" s="2" t="s">
        <v>14</v>
      </c>
      <c r="AC12" s="3" t="s">
        <v>15</v>
      </c>
      <c r="AD12" s="4" t="s">
        <v>16</v>
      </c>
      <c r="AE12" s="2" t="s">
        <v>17</v>
      </c>
      <c r="AF12" s="2" t="s">
        <v>18</v>
      </c>
      <c r="AG12" s="2" t="s">
        <v>19</v>
      </c>
      <c r="AH12" s="2" t="s">
        <v>20</v>
      </c>
      <c r="AI12" s="5" t="s">
        <v>21</v>
      </c>
      <c r="AJ12" s="22" t="s">
        <v>22</v>
      </c>
      <c r="AK12" s="22"/>
    </row>
    <row r="13" spans="1:37" ht="13.7" customHeight="1" x14ac:dyDescent="0.15">
      <c r="A13" s="23" t="s">
        <v>23</v>
      </c>
      <c r="B13" s="23"/>
      <c r="C13" s="23"/>
      <c r="D13" s="23"/>
      <c r="E13" s="23"/>
      <c r="F13" s="23"/>
      <c r="G13" s="23"/>
      <c r="H13" s="23" t="s">
        <v>24</v>
      </c>
      <c r="I13" s="23"/>
      <c r="J13" s="23"/>
      <c r="K13" s="23"/>
      <c r="L13" s="23"/>
      <c r="M13" s="23"/>
      <c r="N13" s="23"/>
      <c r="O13" s="23"/>
      <c r="P13" s="23" t="s">
        <v>25</v>
      </c>
      <c r="Q13" s="23"/>
      <c r="R13" s="23"/>
      <c r="S13" s="23" t="s">
        <v>26</v>
      </c>
      <c r="T13" s="23"/>
      <c r="U13" s="23"/>
      <c r="V13" s="23"/>
      <c r="W13" s="21"/>
      <c r="X13" s="21"/>
      <c r="Y13" s="21"/>
      <c r="Z13" s="21" t="s">
        <v>27</v>
      </c>
      <c r="AA13" s="21"/>
      <c r="AB13" s="6">
        <v>44</v>
      </c>
      <c r="AC13" s="7">
        <v>780</v>
      </c>
      <c r="AD13" s="8">
        <f t="shared" ref="AD13:AD19" si="0">ROUND(AC13*1.3,-1)</f>
        <v>1010</v>
      </c>
      <c r="AE13" s="9">
        <v>16</v>
      </c>
      <c r="AF13" s="45">
        <v>11</v>
      </c>
      <c r="AG13" s="10"/>
      <c r="AH13" s="11">
        <v>45</v>
      </c>
      <c r="AI13" s="44" t="s">
        <v>83</v>
      </c>
      <c r="AJ13" s="24"/>
      <c r="AK13" s="24"/>
    </row>
    <row r="14" spans="1:37" ht="13.7" customHeight="1" x14ac:dyDescent="0.15">
      <c r="A14" s="23" t="s">
        <v>23</v>
      </c>
      <c r="B14" s="23"/>
      <c r="C14" s="23"/>
      <c r="D14" s="23"/>
      <c r="E14" s="23"/>
      <c r="F14" s="23"/>
      <c r="G14" s="23"/>
      <c r="H14" s="23" t="s">
        <v>24</v>
      </c>
      <c r="I14" s="23"/>
      <c r="J14" s="23"/>
      <c r="K14" s="23"/>
      <c r="L14" s="23"/>
      <c r="M14" s="23"/>
      <c r="N14" s="23"/>
      <c r="O14" s="23"/>
      <c r="P14" s="23" t="s">
        <v>28</v>
      </c>
      <c r="Q14" s="23"/>
      <c r="R14" s="23"/>
      <c r="S14" s="23" t="s">
        <v>26</v>
      </c>
      <c r="T14" s="23"/>
      <c r="U14" s="23"/>
      <c r="V14" s="23"/>
      <c r="W14" s="21"/>
      <c r="X14" s="21"/>
      <c r="Y14" s="21"/>
      <c r="Z14" s="21" t="s">
        <v>27</v>
      </c>
      <c r="AA14" s="21"/>
      <c r="AB14" s="6">
        <v>40</v>
      </c>
      <c r="AC14" s="7">
        <v>800</v>
      </c>
      <c r="AD14" s="8">
        <f t="shared" si="0"/>
        <v>1040</v>
      </c>
      <c r="AE14" s="9">
        <v>16</v>
      </c>
      <c r="AF14" s="45">
        <v>12</v>
      </c>
      <c r="AG14" s="10"/>
      <c r="AH14" s="11">
        <v>45</v>
      </c>
      <c r="AI14" s="44" t="s">
        <v>83</v>
      </c>
      <c r="AJ14" s="24"/>
      <c r="AK14" s="24"/>
    </row>
    <row r="15" spans="1:37" ht="13.7" customHeight="1" x14ac:dyDescent="0.15">
      <c r="A15" s="23" t="s">
        <v>23</v>
      </c>
      <c r="B15" s="23"/>
      <c r="C15" s="23"/>
      <c r="D15" s="23"/>
      <c r="E15" s="23"/>
      <c r="F15" s="23"/>
      <c r="G15" s="23"/>
      <c r="H15" s="23" t="s">
        <v>24</v>
      </c>
      <c r="I15" s="23"/>
      <c r="J15" s="23"/>
      <c r="K15" s="23"/>
      <c r="L15" s="23"/>
      <c r="M15" s="23"/>
      <c r="N15" s="23"/>
      <c r="O15" s="23"/>
      <c r="P15" s="23" t="s">
        <v>29</v>
      </c>
      <c r="Q15" s="23"/>
      <c r="R15" s="23"/>
      <c r="S15" s="23" t="s">
        <v>26</v>
      </c>
      <c r="T15" s="23"/>
      <c r="U15" s="23"/>
      <c r="V15" s="23"/>
      <c r="W15" s="21"/>
      <c r="X15" s="21"/>
      <c r="Y15" s="21"/>
      <c r="Z15" s="21" t="s">
        <v>27</v>
      </c>
      <c r="AA15" s="21"/>
      <c r="AB15" s="6">
        <v>48</v>
      </c>
      <c r="AC15" s="12">
        <v>820</v>
      </c>
      <c r="AD15" s="8">
        <f t="shared" si="0"/>
        <v>1070</v>
      </c>
      <c r="AE15" s="9">
        <v>16</v>
      </c>
      <c r="AF15" s="45">
        <v>13.7</v>
      </c>
      <c r="AG15" s="10"/>
      <c r="AH15" s="11">
        <v>45</v>
      </c>
      <c r="AI15" s="44" t="s">
        <v>83</v>
      </c>
      <c r="AJ15" s="24"/>
      <c r="AK15" s="24"/>
    </row>
    <row r="16" spans="1:37" ht="13.7" customHeight="1" x14ac:dyDescent="0.15">
      <c r="A16" s="23" t="s">
        <v>23</v>
      </c>
      <c r="B16" s="23"/>
      <c r="C16" s="23"/>
      <c r="D16" s="23"/>
      <c r="E16" s="23"/>
      <c r="F16" s="23"/>
      <c r="G16" s="23"/>
      <c r="H16" s="23" t="s">
        <v>24</v>
      </c>
      <c r="I16" s="23"/>
      <c r="J16" s="23"/>
      <c r="K16" s="23"/>
      <c r="L16" s="23"/>
      <c r="M16" s="23"/>
      <c r="N16" s="23"/>
      <c r="O16" s="23"/>
      <c r="P16" s="23" t="s">
        <v>30</v>
      </c>
      <c r="Q16" s="23"/>
      <c r="R16" s="23"/>
      <c r="S16" s="23" t="s">
        <v>26</v>
      </c>
      <c r="T16" s="23"/>
      <c r="U16" s="23"/>
      <c r="V16" s="23"/>
      <c r="W16" s="21"/>
      <c r="X16" s="21"/>
      <c r="Y16" s="21"/>
      <c r="Z16" s="21" t="s">
        <v>27</v>
      </c>
      <c r="AA16" s="21"/>
      <c r="AB16" s="6">
        <v>36</v>
      </c>
      <c r="AC16" s="12">
        <v>1095</v>
      </c>
      <c r="AD16" s="8">
        <f t="shared" si="0"/>
        <v>1420</v>
      </c>
      <c r="AE16" s="9">
        <v>16</v>
      </c>
      <c r="AF16" s="45">
        <v>16.2</v>
      </c>
      <c r="AG16" s="10"/>
      <c r="AH16" s="11">
        <v>45</v>
      </c>
      <c r="AI16" s="44" t="s">
        <v>83</v>
      </c>
      <c r="AJ16" s="24"/>
      <c r="AK16" s="24"/>
    </row>
    <row r="17" spans="1:39" ht="13.7" customHeight="1" x14ac:dyDescent="0.15">
      <c r="A17" s="23" t="s">
        <v>23</v>
      </c>
      <c r="B17" s="23"/>
      <c r="C17" s="23"/>
      <c r="D17" s="23"/>
      <c r="E17" s="23"/>
      <c r="F17" s="23"/>
      <c r="G17" s="23"/>
      <c r="H17" s="23" t="s">
        <v>24</v>
      </c>
      <c r="I17" s="23"/>
      <c r="J17" s="23"/>
      <c r="K17" s="23"/>
      <c r="L17" s="23"/>
      <c r="M17" s="23"/>
      <c r="N17" s="23"/>
      <c r="O17" s="23"/>
      <c r="P17" s="23" t="s">
        <v>31</v>
      </c>
      <c r="Q17" s="23"/>
      <c r="R17" s="23"/>
      <c r="S17" s="23" t="s">
        <v>26</v>
      </c>
      <c r="T17" s="23"/>
      <c r="U17" s="23"/>
      <c r="V17" s="23"/>
      <c r="W17" s="21"/>
      <c r="X17" s="21"/>
      <c r="Y17" s="21"/>
      <c r="Z17" s="21" t="s">
        <v>27</v>
      </c>
      <c r="AA17" s="21"/>
      <c r="AB17" s="6">
        <v>30</v>
      </c>
      <c r="AC17" s="12">
        <v>1510</v>
      </c>
      <c r="AD17" s="8">
        <f t="shared" si="0"/>
        <v>1960</v>
      </c>
      <c r="AE17" s="9">
        <v>10</v>
      </c>
      <c r="AF17" s="45">
        <v>22.5</v>
      </c>
      <c r="AG17" s="10"/>
      <c r="AH17" s="11">
        <v>45</v>
      </c>
      <c r="AI17" s="44" t="s">
        <v>83</v>
      </c>
      <c r="AJ17" s="24"/>
      <c r="AK17" s="24"/>
    </row>
    <row r="18" spans="1:39" ht="13.7" customHeight="1" x14ac:dyDescent="0.15">
      <c r="A18" s="23" t="s">
        <v>23</v>
      </c>
      <c r="B18" s="23"/>
      <c r="C18" s="23"/>
      <c r="D18" s="23"/>
      <c r="E18" s="23"/>
      <c r="F18" s="23"/>
      <c r="G18" s="23"/>
      <c r="H18" s="23" t="s">
        <v>24</v>
      </c>
      <c r="I18" s="23"/>
      <c r="J18" s="23"/>
      <c r="K18" s="23"/>
      <c r="L18" s="23"/>
      <c r="M18" s="23"/>
      <c r="N18" s="23"/>
      <c r="O18" s="23"/>
      <c r="P18" s="23" t="s">
        <v>32</v>
      </c>
      <c r="Q18" s="23"/>
      <c r="R18" s="23"/>
      <c r="S18" s="23" t="s">
        <v>26</v>
      </c>
      <c r="T18" s="23"/>
      <c r="U18" s="23"/>
      <c r="V18" s="23"/>
      <c r="W18" s="21"/>
      <c r="X18" s="21"/>
      <c r="Y18" s="21"/>
      <c r="Z18" s="21" t="s">
        <v>27</v>
      </c>
      <c r="AA18" s="21"/>
      <c r="AB18" s="6">
        <v>20</v>
      </c>
      <c r="AC18" s="12">
        <v>1960</v>
      </c>
      <c r="AD18" s="8">
        <f t="shared" si="0"/>
        <v>2550</v>
      </c>
      <c r="AE18" s="9">
        <v>10</v>
      </c>
      <c r="AF18" s="45">
        <v>30.5</v>
      </c>
      <c r="AG18" s="10"/>
      <c r="AH18" s="11">
        <v>50</v>
      </c>
      <c r="AI18" s="44" t="s">
        <v>84</v>
      </c>
      <c r="AJ18" s="24"/>
      <c r="AK18" s="24"/>
    </row>
    <row r="19" spans="1:39" ht="13.7" customHeight="1" x14ac:dyDescent="0.15">
      <c r="A19" s="23" t="s">
        <v>23</v>
      </c>
      <c r="B19" s="23"/>
      <c r="C19" s="23"/>
      <c r="D19" s="23"/>
      <c r="E19" s="23"/>
      <c r="F19" s="23"/>
      <c r="G19" s="23"/>
      <c r="H19" s="23" t="s">
        <v>24</v>
      </c>
      <c r="I19" s="23"/>
      <c r="J19" s="23"/>
      <c r="K19" s="23"/>
      <c r="L19" s="23"/>
      <c r="M19" s="23"/>
      <c r="N19" s="23"/>
      <c r="O19" s="23"/>
      <c r="P19" s="23" t="s">
        <v>33</v>
      </c>
      <c r="Q19" s="23"/>
      <c r="R19" s="23"/>
      <c r="S19" s="23" t="s">
        <v>26</v>
      </c>
      <c r="T19" s="23"/>
      <c r="U19" s="23"/>
      <c r="V19" s="23"/>
      <c r="W19" s="21"/>
      <c r="X19" s="21"/>
      <c r="Y19" s="21"/>
      <c r="Z19" s="21" t="s">
        <v>27</v>
      </c>
      <c r="AA19" s="21"/>
      <c r="AB19" s="6">
        <v>20</v>
      </c>
      <c r="AC19" s="12">
        <v>2450</v>
      </c>
      <c r="AD19" s="8">
        <f t="shared" si="0"/>
        <v>3190</v>
      </c>
      <c r="AE19" s="9">
        <v>10</v>
      </c>
      <c r="AF19" s="45">
        <v>40.9</v>
      </c>
      <c r="AG19" s="10"/>
      <c r="AH19" s="11">
        <v>50</v>
      </c>
      <c r="AI19" s="44" t="s">
        <v>84</v>
      </c>
      <c r="AJ19" s="24"/>
      <c r="AK19" s="24"/>
    </row>
    <row r="20" spans="1:39" ht="13.7" customHeight="1" x14ac:dyDescent="0.15">
      <c r="A20" s="23" t="s">
        <v>23</v>
      </c>
      <c r="B20" s="23"/>
      <c r="C20" s="23"/>
      <c r="D20" s="23"/>
      <c r="E20" s="23"/>
      <c r="F20" s="23"/>
      <c r="G20" s="23"/>
      <c r="H20" s="23" t="s">
        <v>24</v>
      </c>
      <c r="I20" s="23"/>
      <c r="J20" s="23"/>
      <c r="K20" s="23"/>
      <c r="L20" s="23"/>
      <c r="M20" s="23"/>
      <c r="N20" s="23"/>
      <c r="O20" s="23"/>
      <c r="P20" s="23" t="s">
        <v>34</v>
      </c>
      <c r="Q20" s="23"/>
      <c r="R20" s="23"/>
      <c r="S20" s="23" t="s">
        <v>26</v>
      </c>
      <c r="T20" s="23"/>
      <c r="U20" s="23"/>
      <c r="V20" s="23"/>
      <c r="W20" s="21"/>
      <c r="X20" s="21"/>
      <c r="Y20" s="21"/>
      <c r="Z20" s="21" t="s">
        <v>27</v>
      </c>
      <c r="AA20" s="21"/>
      <c r="AB20" s="6">
        <v>20</v>
      </c>
      <c r="AC20" s="12">
        <v>4210</v>
      </c>
      <c r="AD20" s="8">
        <f t="shared" ref="AD20:AD23" si="1">ROUND(AC20*1.2,-1)</f>
        <v>5050</v>
      </c>
      <c r="AE20" s="9">
        <v>7</v>
      </c>
      <c r="AF20" s="45">
        <v>63</v>
      </c>
      <c r="AG20" s="10"/>
      <c r="AH20" s="11">
        <v>75</v>
      </c>
      <c r="AI20" s="44" t="s">
        <v>85</v>
      </c>
      <c r="AJ20" s="24"/>
      <c r="AK20" s="24"/>
    </row>
    <row r="21" spans="1:39" ht="13.7" customHeight="1" x14ac:dyDescent="0.15">
      <c r="A21" s="23" t="s">
        <v>23</v>
      </c>
      <c r="B21" s="23"/>
      <c r="C21" s="23"/>
      <c r="D21" s="23"/>
      <c r="E21" s="23"/>
      <c r="F21" s="23"/>
      <c r="G21" s="23"/>
      <c r="H21" s="23" t="s">
        <v>24</v>
      </c>
      <c r="I21" s="23"/>
      <c r="J21" s="23"/>
      <c r="K21" s="23"/>
      <c r="L21" s="23"/>
      <c r="M21" s="23"/>
      <c r="N21" s="23"/>
      <c r="O21" s="23"/>
      <c r="P21" s="23" t="s">
        <v>35</v>
      </c>
      <c r="Q21" s="23"/>
      <c r="R21" s="23"/>
      <c r="S21" s="23" t="s">
        <v>26</v>
      </c>
      <c r="T21" s="23"/>
      <c r="U21" s="23"/>
      <c r="V21" s="23"/>
      <c r="W21" s="21"/>
      <c r="X21" s="21"/>
      <c r="Y21" s="21"/>
      <c r="Z21" s="21" t="s">
        <v>27</v>
      </c>
      <c r="AA21" s="21"/>
      <c r="AB21" s="6">
        <v>15</v>
      </c>
      <c r="AC21" s="12">
        <v>4510</v>
      </c>
      <c r="AD21" s="8">
        <f t="shared" si="1"/>
        <v>5410</v>
      </c>
      <c r="AE21" s="9">
        <v>7</v>
      </c>
      <c r="AF21" s="45">
        <v>82</v>
      </c>
      <c r="AG21" s="10"/>
      <c r="AH21" s="11">
        <v>75</v>
      </c>
      <c r="AI21" s="44" t="s">
        <v>86</v>
      </c>
      <c r="AJ21" s="24"/>
      <c r="AK21" s="24"/>
    </row>
    <row r="22" spans="1:39" ht="13.7" customHeight="1" x14ac:dyDescent="0.15">
      <c r="A22" s="23" t="s">
        <v>23</v>
      </c>
      <c r="B22" s="23"/>
      <c r="C22" s="23"/>
      <c r="D22" s="23"/>
      <c r="E22" s="23"/>
      <c r="F22" s="23"/>
      <c r="G22" s="23"/>
      <c r="H22" s="23" t="s">
        <v>24</v>
      </c>
      <c r="I22" s="23"/>
      <c r="J22" s="23"/>
      <c r="K22" s="23"/>
      <c r="L22" s="23"/>
      <c r="M22" s="23"/>
      <c r="N22" s="23"/>
      <c r="O22" s="23"/>
      <c r="P22" s="23" t="s">
        <v>36</v>
      </c>
      <c r="Q22" s="23"/>
      <c r="R22" s="23"/>
      <c r="S22" s="23" t="s">
        <v>26</v>
      </c>
      <c r="T22" s="23"/>
      <c r="U22" s="23"/>
      <c r="V22" s="23"/>
      <c r="W22" s="21"/>
      <c r="X22" s="21"/>
      <c r="Y22" s="21"/>
      <c r="Z22" s="21" t="s">
        <v>27</v>
      </c>
      <c r="AA22" s="21"/>
      <c r="AB22" s="6">
        <v>15</v>
      </c>
      <c r="AC22" s="13">
        <v>5640</v>
      </c>
      <c r="AD22" s="8">
        <f t="shared" si="1"/>
        <v>6770</v>
      </c>
      <c r="AE22" s="9">
        <v>7</v>
      </c>
      <c r="AF22" s="45">
        <v>109</v>
      </c>
      <c r="AG22" s="10"/>
      <c r="AH22" s="11">
        <v>90</v>
      </c>
      <c r="AI22" s="44" t="s">
        <v>87</v>
      </c>
      <c r="AJ22" s="24"/>
      <c r="AK22" s="24"/>
    </row>
    <row r="23" spans="1:39" ht="13.7" customHeight="1" x14ac:dyDescent="0.15">
      <c r="A23" s="23" t="s">
        <v>23</v>
      </c>
      <c r="B23" s="23"/>
      <c r="C23" s="23"/>
      <c r="D23" s="23"/>
      <c r="E23" s="23"/>
      <c r="F23" s="23"/>
      <c r="G23" s="23"/>
      <c r="H23" s="23" t="s">
        <v>24</v>
      </c>
      <c r="I23" s="23"/>
      <c r="J23" s="23"/>
      <c r="K23" s="23"/>
      <c r="L23" s="23"/>
      <c r="M23" s="23"/>
      <c r="N23" s="23"/>
      <c r="O23" s="23"/>
      <c r="P23" s="23" t="s">
        <v>37</v>
      </c>
      <c r="Q23" s="23"/>
      <c r="R23" s="23"/>
      <c r="S23" s="23" t="s">
        <v>26</v>
      </c>
      <c r="T23" s="23"/>
      <c r="U23" s="23"/>
      <c r="V23" s="23"/>
      <c r="W23" s="21"/>
      <c r="X23" s="21"/>
      <c r="Y23" s="21"/>
      <c r="Z23" s="21" t="s">
        <v>27</v>
      </c>
      <c r="AA23" s="21"/>
      <c r="AB23" s="6">
        <v>10</v>
      </c>
      <c r="AC23" s="12">
        <v>8580</v>
      </c>
      <c r="AD23" s="8">
        <f t="shared" si="1"/>
        <v>10300</v>
      </c>
      <c r="AE23" s="9">
        <v>7</v>
      </c>
      <c r="AF23" s="45">
        <v>140</v>
      </c>
      <c r="AG23" s="10"/>
      <c r="AH23" s="11">
        <v>90</v>
      </c>
      <c r="AI23" s="44" t="s">
        <v>88</v>
      </c>
      <c r="AJ23" s="24"/>
      <c r="AK23" s="24"/>
    </row>
    <row r="24" spans="1:39" ht="13.7" customHeight="1" x14ac:dyDescent="0.15">
      <c r="A24" s="23" t="s">
        <v>23</v>
      </c>
      <c r="B24" s="23"/>
      <c r="C24" s="23"/>
      <c r="D24" s="23"/>
      <c r="E24" s="23"/>
      <c r="F24" s="23"/>
      <c r="G24" s="23"/>
      <c r="H24" s="23" t="s">
        <v>24</v>
      </c>
      <c r="I24" s="23"/>
      <c r="J24" s="23"/>
      <c r="K24" s="23"/>
      <c r="L24" s="23"/>
      <c r="M24" s="23"/>
      <c r="N24" s="23"/>
      <c r="O24" s="23"/>
      <c r="P24" s="23" t="s">
        <v>38</v>
      </c>
      <c r="Q24" s="23"/>
      <c r="R24" s="23"/>
      <c r="S24" s="23" t="s">
        <v>26</v>
      </c>
      <c r="T24" s="23"/>
      <c r="U24" s="23"/>
      <c r="V24" s="23"/>
      <c r="W24" s="21"/>
      <c r="X24" s="21"/>
      <c r="Y24" s="21"/>
      <c r="Z24" s="21" t="s">
        <v>27</v>
      </c>
      <c r="AA24" s="21"/>
      <c r="AB24" s="6">
        <v>4</v>
      </c>
      <c r="AC24" s="12">
        <v>10300</v>
      </c>
      <c r="AD24" s="8">
        <f>ROUND(AC24*1.1,-1)</f>
        <v>11330</v>
      </c>
      <c r="AE24" s="9">
        <v>5</v>
      </c>
      <c r="AF24" s="46">
        <v>198</v>
      </c>
      <c r="AG24" s="14"/>
      <c r="AH24" s="15">
        <v>105</v>
      </c>
      <c r="AI24" s="44" t="s">
        <v>89</v>
      </c>
      <c r="AJ24" s="24"/>
      <c r="AK24" s="24"/>
    </row>
    <row r="25" spans="1:39" ht="13.7" customHeight="1" x14ac:dyDescent="0.15">
      <c r="A25" s="23" t="s">
        <v>23</v>
      </c>
      <c r="B25" s="23"/>
      <c r="C25" s="23"/>
      <c r="D25" s="23"/>
      <c r="E25" s="23"/>
      <c r="F25" s="23"/>
      <c r="G25" s="23"/>
      <c r="H25" s="23" t="s">
        <v>24</v>
      </c>
      <c r="I25" s="23"/>
      <c r="J25" s="23"/>
      <c r="K25" s="23"/>
      <c r="L25" s="23"/>
      <c r="M25" s="23"/>
      <c r="N25" s="23"/>
      <c r="O25" s="23"/>
      <c r="P25" s="23" t="s">
        <v>39</v>
      </c>
      <c r="Q25" s="23"/>
      <c r="R25" s="23"/>
      <c r="S25" s="23" t="s">
        <v>26</v>
      </c>
      <c r="T25" s="23"/>
      <c r="U25" s="23"/>
      <c r="V25" s="23"/>
      <c r="W25" s="21"/>
      <c r="X25" s="21"/>
      <c r="Y25" s="21"/>
      <c r="Z25" s="21" t="s">
        <v>27</v>
      </c>
      <c r="AA25" s="21"/>
      <c r="AB25" s="6">
        <v>4</v>
      </c>
      <c r="AC25" s="12">
        <v>16500</v>
      </c>
      <c r="AD25" s="8">
        <f>ROUND(AC25*1.1,-1)</f>
        <v>18150</v>
      </c>
      <c r="AE25" s="9">
        <v>5</v>
      </c>
      <c r="AF25" s="46">
        <v>235</v>
      </c>
      <c r="AG25" s="14"/>
      <c r="AH25" s="15">
        <v>105</v>
      </c>
      <c r="AI25" s="44" t="s">
        <v>90</v>
      </c>
      <c r="AJ25" s="24"/>
      <c r="AK25" s="24"/>
      <c r="AM25" s="16"/>
    </row>
    <row r="26" spans="1:39" ht="20.65" customHeight="1" x14ac:dyDescent="0.15">
      <c r="A26" s="25" t="s">
        <v>40</v>
      </c>
      <c r="B26" s="25"/>
      <c r="C26" s="25"/>
      <c r="D26" s="25"/>
      <c r="E26" s="25"/>
      <c r="F26" s="25"/>
      <c r="G26" s="25"/>
      <c r="H26" s="25"/>
      <c r="I26" s="25"/>
      <c r="J26" s="25"/>
      <c r="K26" s="25"/>
      <c r="L26" s="25"/>
      <c r="M26" s="25"/>
      <c r="N26" s="23" t="s">
        <v>41</v>
      </c>
      <c r="O26" s="23"/>
      <c r="P26" s="23"/>
      <c r="Q26" s="23"/>
      <c r="R26" s="23"/>
      <c r="S26" s="23"/>
      <c r="T26" s="23"/>
      <c r="U26" s="23"/>
      <c r="V26" s="26"/>
      <c r="W26" s="26"/>
      <c r="X26" s="26"/>
      <c r="Y26" s="26"/>
      <c r="Z26" s="23" t="s">
        <v>42</v>
      </c>
      <c r="AA26" s="23"/>
      <c r="AB26" s="23"/>
      <c r="AC26" s="23"/>
      <c r="AD26" s="23"/>
      <c r="AE26" s="23"/>
      <c r="AF26" s="23"/>
      <c r="AG26" s="23"/>
      <c r="AH26" s="23"/>
      <c r="AI26" s="27"/>
      <c r="AJ26" s="27"/>
      <c r="AK26" s="27"/>
      <c r="AM26" s="16"/>
    </row>
    <row r="27" spans="1:39" ht="20.65" customHeight="1" x14ac:dyDescent="0.15">
      <c r="A27" s="28" t="s">
        <v>43</v>
      </c>
      <c r="B27" s="28"/>
      <c r="C27" s="28"/>
      <c r="D27" s="28"/>
      <c r="E27" s="28"/>
      <c r="F27" s="28"/>
      <c r="G27" s="28"/>
      <c r="H27" s="28"/>
      <c r="I27" s="28"/>
      <c r="J27" s="28"/>
      <c r="K27" s="28"/>
      <c r="L27" s="28"/>
      <c r="M27" s="28"/>
      <c r="N27" s="28"/>
      <c r="O27" s="28"/>
      <c r="P27" s="28"/>
      <c r="Q27" s="28"/>
      <c r="R27" s="28"/>
      <c r="S27" s="28"/>
      <c r="T27" s="28"/>
      <c r="U27" s="28"/>
      <c r="V27" s="28"/>
      <c r="W27" s="28"/>
      <c r="X27" s="28"/>
      <c r="Y27" s="28"/>
      <c r="Z27" s="29" t="s">
        <v>44</v>
      </c>
      <c r="AA27" s="29"/>
      <c r="AB27" s="29"/>
      <c r="AC27" s="29"/>
      <c r="AD27" s="29"/>
      <c r="AE27" s="29"/>
      <c r="AF27" s="29"/>
      <c r="AG27" s="29"/>
      <c r="AH27" s="29"/>
      <c r="AI27" s="29"/>
      <c r="AJ27" s="29"/>
      <c r="AK27" s="29"/>
    </row>
    <row r="28" spans="1:39" ht="20.65" customHeight="1" x14ac:dyDescent="0.15">
      <c r="A28" s="30" t="s">
        <v>45</v>
      </c>
      <c r="B28" s="31"/>
      <c r="C28" s="31"/>
      <c r="D28" s="31"/>
      <c r="E28" s="31"/>
      <c r="F28" s="31"/>
      <c r="G28" s="31"/>
      <c r="H28" s="31"/>
      <c r="I28" s="31"/>
      <c r="J28" s="31"/>
      <c r="K28" s="31"/>
      <c r="L28" s="31"/>
      <c r="M28" s="31"/>
      <c r="N28" s="31"/>
      <c r="O28" s="31"/>
      <c r="P28" s="31"/>
      <c r="Q28" s="31"/>
      <c r="R28" s="31"/>
      <c r="S28" s="31"/>
      <c r="T28" s="31"/>
      <c r="U28" s="31"/>
      <c r="V28" s="31"/>
      <c r="W28" s="31"/>
      <c r="X28" s="31"/>
      <c r="Y28" s="31"/>
      <c r="Z28" s="31"/>
      <c r="AA28" s="31"/>
      <c r="AB28" s="31"/>
      <c r="AC28" s="31"/>
      <c r="AD28" s="31"/>
      <c r="AE28" s="31"/>
      <c r="AF28" s="31"/>
      <c r="AG28" s="31"/>
      <c r="AH28" s="31"/>
      <c r="AI28" s="31"/>
      <c r="AJ28" s="31"/>
      <c r="AK28" s="32"/>
    </row>
    <row r="29" spans="1:39" ht="2.4500000000000002" customHeight="1" x14ac:dyDescent="0.15"/>
    <row r="30" spans="1:39" ht="30.75" customHeight="1" x14ac:dyDescent="0.15">
      <c r="A30" s="20" t="s">
        <v>46</v>
      </c>
      <c r="B30" s="20"/>
      <c r="C30" s="20"/>
      <c r="D30" s="20"/>
      <c r="E30" s="20"/>
      <c r="F30" s="20"/>
      <c r="G30" s="20"/>
      <c r="H30" s="20"/>
      <c r="I30" s="20"/>
      <c r="J30" s="33" t="s">
        <v>47</v>
      </c>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18"/>
      <c r="AJ30" s="18"/>
      <c r="AK30" s="18"/>
    </row>
    <row r="31" spans="1:39" ht="30.75" customHeight="1" x14ac:dyDescent="0.15">
      <c r="A31" s="20" t="s">
        <v>48</v>
      </c>
      <c r="B31" s="20"/>
      <c r="C31" s="20"/>
      <c r="D31" s="20"/>
      <c r="E31" s="20"/>
      <c r="F31" s="20"/>
      <c r="G31" s="20"/>
      <c r="H31" s="20"/>
      <c r="I31" s="20"/>
      <c r="J31" s="34" t="s">
        <v>49</v>
      </c>
      <c r="K31" s="34"/>
      <c r="L31" s="34"/>
      <c r="M31" s="34"/>
      <c r="N31" s="34"/>
      <c r="O31" s="34"/>
      <c r="P31" s="34"/>
      <c r="Q31" s="34"/>
      <c r="R31" s="34"/>
      <c r="S31" s="34"/>
      <c r="T31" s="34"/>
      <c r="U31" s="34"/>
      <c r="V31" s="34"/>
      <c r="W31" s="34"/>
      <c r="X31" s="34"/>
      <c r="Y31" s="34"/>
      <c r="Z31" s="34"/>
      <c r="AA31" s="34"/>
      <c r="AB31" s="34"/>
      <c r="AC31" s="34"/>
      <c r="AD31" s="34"/>
      <c r="AE31" s="34"/>
      <c r="AF31" s="34"/>
      <c r="AG31" s="34"/>
      <c r="AH31" s="34"/>
      <c r="AI31" s="34"/>
      <c r="AJ31" s="34"/>
    </row>
    <row r="32" spans="1:39" ht="17.25" customHeight="1" x14ac:dyDescent="0.15">
      <c r="A32" s="20" t="s">
        <v>50</v>
      </c>
      <c r="B32" s="20"/>
      <c r="C32" s="20"/>
      <c r="D32" s="20"/>
      <c r="E32" s="20"/>
      <c r="F32" s="20"/>
      <c r="G32" s="20"/>
      <c r="H32" s="20"/>
      <c r="I32" s="20"/>
      <c r="J32" s="17"/>
      <c r="K32" s="33" t="s">
        <v>51</v>
      </c>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row>
    <row r="33" spans="1:56" ht="3.75" customHeight="1" x14ac:dyDescent="0.15">
      <c r="A33" s="20" t="s">
        <v>52</v>
      </c>
      <c r="B33" s="20"/>
      <c r="C33" s="20"/>
      <c r="D33" s="20"/>
      <c r="E33" s="20"/>
      <c r="F33" s="20"/>
      <c r="G33" s="20"/>
      <c r="H33" s="20"/>
      <c r="I33" s="20"/>
      <c r="J33" s="20"/>
      <c r="K33" s="20"/>
      <c r="L33" s="17"/>
      <c r="M33" s="17"/>
      <c r="N33" s="17"/>
      <c r="O33" s="17"/>
      <c r="P33" s="17"/>
      <c r="Q33" s="17"/>
      <c r="R33" s="17"/>
      <c r="S33" s="17"/>
      <c r="T33" s="17"/>
      <c r="U33" s="17"/>
      <c r="V33" s="17"/>
      <c r="W33" s="17"/>
      <c r="X33" s="17"/>
      <c r="Y33" s="17"/>
      <c r="Z33" s="17"/>
      <c r="AA33" s="17"/>
      <c r="AB33" s="17"/>
      <c r="AC33" s="17"/>
      <c r="AD33" s="17"/>
      <c r="AE33" s="17"/>
      <c r="AF33" s="17"/>
      <c r="AG33" s="17"/>
      <c r="AH33" s="17"/>
      <c r="AI33" s="17"/>
      <c r="AJ33" s="17"/>
    </row>
    <row r="34" spans="1:56" ht="26.25" customHeight="1" x14ac:dyDescent="0.15">
      <c r="A34" s="20"/>
      <c r="B34" s="20"/>
      <c r="C34" s="20"/>
      <c r="D34" s="20"/>
      <c r="E34" s="20"/>
      <c r="F34" s="20"/>
      <c r="G34" s="20"/>
      <c r="H34" s="20"/>
      <c r="I34" s="20"/>
      <c r="J34" s="20"/>
      <c r="K34" s="20"/>
      <c r="L34" s="33" t="s">
        <v>53</v>
      </c>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row>
    <row r="35" spans="1:56" ht="10.15" customHeight="1" x14ac:dyDescent="0.15">
      <c r="A35" s="20" t="s">
        <v>54</v>
      </c>
      <c r="B35" s="20"/>
      <c r="C35" s="20"/>
      <c r="D35" s="20"/>
      <c r="E35" s="33" t="s">
        <v>55</v>
      </c>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17"/>
      <c r="AJ35" s="17"/>
    </row>
    <row r="36" spans="1:56" ht="29.25" customHeight="1" x14ac:dyDescent="0.15">
      <c r="A36" s="20"/>
      <c r="B36" s="20"/>
      <c r="C36" s="20"/>
      <c r="D36" s="20"/>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17"/>
      <c r="AJ36" s="17"/>
    </row>
    <row r="37" spans="1:56" ht="10.35" customHeight="1" x14ac:dyDescent="0.15">
      <c r="A37" s="20"/>
      <c r="B37" s="20"/>
      <c r="C37" s="20"/>
      <c r="D37" s="20"/>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17"/>
      <c r="AJ37" s="17"/>
    </row>
    <row r="38" spans="1:56" ht="1.1499999999999999" customHeight="1" x14ac:dyDescent="0.15"/>
    <row r="39" spans="1:56" ht="19.5" customHeight="1" x14ac:dyDescent="0.15">
      <c r="A39" s="20" t="s">
        <v>56</v>
      </c>
      <c r="B39" s="20"/>
      <c r="C39" s="20"/>
      <c r="D39" s="20"/>
      <c r="E39" s="20"/>
      <c r="F39" s="20"/>
      <c r="G39" s="20"/>
      <c r="H39" s="20"/>
      <c r="I39" s="20"/>
      <c r="J39" s="20"/>
      <c r="K39" s="20"/>
      <c r="L39" s="35" t="s">
        <v>57</v>
      </c>
      <c r="M39" s="35"/>
      <c r="N39" s="35"/>
      <c r="O39" s="35"/>
      <c r="P39" s="35"/>
      <c r="Q39" s="35"/>
      <c r="R39" s="35"/>
      <c r="S39" s="35"/>
      <c r="T39" s="35"/>
      <c r="U39" s="35"/>
      <c r="V39" s="35"/>
      <c r="W39" s="35"/>
      <c r="X39" s="35"/>
      <c r="Y39" s="35"/>
      <c r="Z39" s="35"/>
      <c r="AA39" s="35"/>
      <c r="AB39" s="35"/>
      <c r="AC39" s="35"/>
      <c r="AD39" s="35"/>
      <c r="AE39" s="35"/>
      <c r="AF39" s="35"/>
      <c r="AG39" s="35"/>
      <c r="AH39" s="35"/>
      <c r="AI39" s="35"/>
      <c r="AJ39" s="35"/>
      <c r="AK39" s="35"/>
    </row>
    <row r="40" spans="1:56" ht="19.5" customHeight="1" x14ac:dyDescent="0.15">
      <c r="A40" s="36" t="s">
        <v>58</v>
      </c>
      <c r="B40" s="36"/>
      <c r="C40" s="36"/>
      <c r="D40" s="1"/>
      <c r="E40" s="1"/>
      <c r="F40" s="37" t="s">
        <v>91</v>
      </c>
      <c r="G40" s="37"/>
      <c r="H40" s="37"/>
      <c r="I40" s="37"/>
      <c r="J40" s="37"/>
      <c r="K40" s="37"/>
      <c r="L40" s="37"/>
      <c r="M40" s="37"/>
      <c r="N40" s="37"/>
      <c r="O40" s="37"/>
      <c r="P40" s="37"/>
      <c r="Q40" s="37"/>
      <c r="R40" s="37"/>
      <c r="S40" s="37"/>
      <c r="T40" s="37"/>
      <c r="U40" s="37"/>
      <c r="V40" s="37"/>
      <c r="W40" s="37"/>
      <c r="X40" s="37"/>
      <c r="Y40" s="37"/>
      <c r="Z40" s="37"/>
      <c r="AA40" s="37"/>
      <c r="AB40" s="37"/>
      <c r="AC40" s="37"/>
      <c r="AD40" s="37"/>
      <c r="AE40" s="37"/>
      <c r="AF40" s="37"/>
      <c r="AG40" s="37"/>
      <c r="AH40" s="37"/>
      <c r="AI40" s="37"/>
      <c r="AJ40" s="37"/>
      <c r="AK40" s="37"/>
    </row>
    <row r="41" spans="1:56" ht="18" customHeight="1" x14ac:dyDescent="0.15">
      <c r="A41" s="38" t="s">
        <v>59</v>
      </c>
      <c r="B41" s="38"/>
      <c r="C41" s="38"/>
      <c r="D41" s="38"/>
      <c r="E41" s="38"/>
      <c r="F41" s="38"/>
      <c r="G41" s="38"/>
      <c r="H41" s="38"/>
      <c r="I41" s="38"/>
      <c r="J41" s="38"/>
      <c r="K41" s="38"/>
      <c r="L41" s="38"/>
      <c r="M41" s="38"/>
      <c r="N41" s="38"/>
      <c r="O41" s="38"/>
      <c r="P41" s="38"/>
      <c r="Q41" s="38"/>
      <c r="R41" s="38"/>
      <c r="S41" s="38"/>
      <c r="T41" s="38"/>
      <c r="U41" s="38"/>
      <c r="V41" s="38"/>
      <c r="W41" s="38"/>
      <c r="X41" s="38"/>
      <c r="Y41" s="38"/>
      <c r="Z41" s="38" t="s">
        <v>60</v>
      </c>
      <c r="AA41" s="38"/>
      <c r="AB41" s="38"/>
      <c r="AC41" s="38"/>
      <c r="AD41" s="38"/>
      <c r="AE41" s="38"/>
      <c r="AF41" s="38"/>
      <c r="AG41" s="38"/>
      <c r="AH41" s="38"/>
      <c r="AI41" s="38"/>
      <c r="AJ41" s="38"/>
      <c r="AK41" s="38"/>
    </row>
    <row r="42" spans="1:56" ht="18" customHeight="1" x14ac:dyDescent="0.15">
      <c r="A42" s="39" t="s">
        <v>61</v>
      </c>
      <c r="B42" s="39"/>
      <c r="C42" s="39"/>
      <c r="D42" s="39"/>
      <c r="E42" s="39"/>
      <c r="F42" s="39"/>
      <c r="G42" s="39"/>
      <c r="H42" s="39"/>
      <c r="I42" s="39"/>
      <c r="J42" s="39"/>
      <c r="K42" s="39"/>
      <c r="L42" s="39"/>
      <c r="M42" s="39"/>
      <c r="N42" s="39"/>
      <c r="O42" s="39"/>
      <c r="P42" s="39"/>
      <c r="Q42" s="39"/>
      <c r="R42" s="39"/>
      <c r="S42" s="39"/>
      <c r="T42" s="39"/>
      <c r="U42" s="39"/>
      <c r="V42" s="39"/>
      <c r="W42" s="39"/>
      <c r="X42" s="39"/>
      <c r="Y42" s="39"/>
      <c r="Z42" s="39" t="s">
        <v>62</v>
      </c>
      <c r="AA42" s="39"/>
      <c r="AB42" s="39"/>
      <c r="AC42" s="39"/>
      <c r="AD42" s="39"/>
      <c r="AE42" s="39"/>
      <c r="AF42" s="39"/>
      <c r="AG42" s="39"/>
      <c r="AH42" s="39"/>
      <c r="AI42" s="39"/>
      <c r="AJ42" s="39"/>
      <c r="AK42" s="39"/>
    </row>
    <row r="43" spans="1:56" ht="18" customHeight="1" x14ac:dyDescent="0.15">
      <c r="A43" s="39" t="s">
        <v>63</v>
      </c>
      <c r="B43" s="39"/>
      <c r="C43" s="39"/>
      <c r="D43" s="39"/>
      <c r="E43" s="39"/>
      <c r="F43" s="39"/>
      <c r="G43" s="39"/>
      <c r="H43" s="39"/>
      <c r="I43" s="39"/>
      <c r="J43" s="39"/>
      <c r="K43" s="39"/>
      <c r="L43" s="39"/>
      <c r="M43" s="39"/>
      <c r="N43" s="39"/>
      <c r="O43" s="39"/>
      <c r="P43" s="39"/>
      <c r="Q43" s="39"/>
      <c r="R43" s="39"/>
      <c r="S43" s="39"/>
      <c r="T43" s="39"/>
      <c r="U43" s="39"/>
      <c r="V43" s="39"/>
      <c r="W43" s="39"/>
      <c r="X43" s="39"/>
      <c r="Y43" s="39"/>
      <c r="Z43" s="39" t="s">
        <v>64</v>
      </c>
      <c r="AA43" s="39"/>
      <c r="AB43" s="39"/>
      <c r="AC43" s="39"/>
      <c r="AD43" s="39"/>
      <c r="AE43" s="39"/>
      <c r="AF43" s="39"/>
      <c r="AG43" s="39"/>
      <c r="AH43" s="39"/>
      <c r="AI43" s="39"/>
      <c r="AJ43" s="39"/>
      <c r="AK43" s="39"/>
    </row>
    <row r="44" spans="1:56" ht="18" customHeight="1" x14ac:dyDescent="0.15">
      <c r="A44" s="38" t="s">
        <v>65</v>
      </c>
      <c r="B44" s="38"/>
      <c r="C44" s="38"/>
      <c r="D44" s="38"/>
      <c r="E44" s="38"/>
      <c r="F44" s="38"/>
      <c r="G44" s="38"/>
      <c r="H44" s="38"/>
      <c r="I44" s="38"/>
      <c r="J44" s="38"/>
      <c r="K44" s="38"/>
      <c r="L44" s="38"/>
      <c r="M44" s="38"/>
      <c r="N44" s="38"/>
      <c r="O44" s="38"/>
      <c r="P44" s="38"/>
      <c r="Q44" s="38"/>
      <c r="R44" s="38"/>
      <c r="S44" s="38"/>
      <c r="T44" s="38"/>
      <c r="U44" s="38"/>
      <c r="V44" s="38"/>
      <c r="W44" s="38"/>
      <c r="X44" s="38"/>
      <c r="Y44" s="38"/>
      <c r="Z44" s="38" t="s">
        <v>66</v>
      </c>
      <c r="AA44" s="38"/>
      <c r="AB44" s="38"/>
      <c r="AC44" s="38"/>
      <c r="AD44" s="38"/>
      <c r="AE44" s="38"/>
      <c r="AF44" s="38"/>
      <c r="AG44" s="38"/>
      <c r="AH44" s="38"/>
      <c r="AI44" s="38"/>
      <c r="AJ44" s="38"/>
      <c r="AK44" s="38"/>
    </row>
    <row r="45" spans="1:56" ht="21" customHeight="1" x14ac:dyDescent="0.15">
      <c r="A45" s="38" t="s">
        <v>67</v>
      </c>
      <c r="B45" s="38"/>
      <c r="C45" s="38"/>
      <c r="D45" s="38"/>
      <c r="E45" s="38"/>
      <c r="F45" s="38"/>
      <c r="G45" s="38"/>
      <c r="H45" s="38"/>
      <c r="I45" s="38"/>
      <c r="J45" s="38"/>
      <c r="K45" s="38"/>
      <c r="L45" s="38"/>
      <c r="M45" s="38"/>
      <c r="N45" s="38"/>
      <c r="O45" s="38"/>
      <c r="P45" s="38"/>
      <c r="Q45" s="38"/>
      <c r="R45" s="38"/>
      <c r="S45" s="38" t="s">
        <v>68</v>
      </c>
      <c r="T45" s="38"/>
      <c r="U45" s="38"/>
      <c r="V45" s="38"/>
      <c r="W45" s="38"/>
      <c r="X45" s="38"/>
      <c r="Y45" s="38"/>
      <c r="Z45" s="38" t="s">
        <v>69</v>
      </c>
      <c r="AA45" s="38"/>
      <c r="AB45" s="38"/>
      <c r="AC45" s="38"/>
      <c r="AD45" s="38"/>
      <c r="AE45" s="38"/>
      <c r="AF45" s="38"/>
      <c r="AG45" s="38"/>
      <c r="AH45" s="38"/>
      <c r="AI45" s="38"/>
      <c r="AJ45" s="38"/>
      <c r="AK45" s="38"/>
    </row>
    <row r="46" spans="1:56" ht="18" customHeight="1" x14ac:dyDescent="0.15">
      <c r="A46" s="38" t="s">
        <v>70</v>
      </c>
      <c r="B46" s="38"/>
      <c r="C46" s="38"/>
      <c r="D46" s="38"/>
      <c r="E46" s="38"/>
      <c r="F46" s="38"/>
      <c r="G46" s="38"/>
      <c r="H46" s="38"/>
      <c r="I46" s="38"/>
      <c r="J46" s="38"/>
      <c r="K46" s="38"/>
      <c r="L46" s="38"/>
      <c r="M46" s="38"/>
      <c r="N46" s="38"/>
      <c r="O46" s="38"/>
      <c r="P46" s="38"/>
      <c r="Q46" s="38"/>
      <c r="R46" s="38"/>
      <c r="S46" s="38"/>
      <c r="T46" s="38"/>
      <c r="U46" s="38"/>
      <c r="V46" s="38"/>
      <c r="W46" s="38"/>
      <c r="X46" s="38"/>
      <c r="Y46" s="38"/>
      <c r="Z46" s="38" t="s">
        <v>71</v>
      </c>
      <c r="AA46" s="38"/>
      <c r="AB46" s="38"/>
      <c r="AC46" s="38"/>
      <c r="AD46" s="38"/>
      <c r="AE46" s="38"/>
      <c r="AF46" s="38"/>
      <c r="AG46" s="38"/>
      <c r="AH46" s="38"/>
      <c r="AI46" s="38"/>
      <c r="AJ46" s="38"/>
      <c r="AK46" s="38"/>
    </row>
    <row r="47" spans="1:56" ht="18" customHeight="1" x14ac:dyDescent="0.15">
      <c r="A47" s="38" t="s">
        <v>72</v>
      </c>
      <c r="B47" s="38"/>
      <c r="C47" s="38"/>
      <c r="D47" s="38"/>
      <c r="E47" s="38"/>
      <c r="F47" s="38"/>
      <c r="G47" s="38"/>
      <c r="H47" s="38"/>
      <c r="I47" s="38"/>
      <c r="J47" s="38"/>
      <c r="K47" s="38"/>
      <c r="L47" s="38"/>
      <c r="M47" s="38"/>
      <c r="N47" s="38"/>
      <c r="O47" s="38"/>
      <c r="P47" s="38"/>
      <c r="Q47" s="38"/>
      <c r="R47" s="38"/>
      <c r="S47" s="38"/>
      <c r="T47" s="38"/>
      <c r="U47" s="38"/>
      <c r="V47" s="38"/>
      <c r="W47" s="38"/>
      <c r="X47" s="38"/>
      <c r="Y47" s="38"/>
      <c r="Z47" s="38" t="s">
        <v>73</v>
      </c>
      <c r="AA47" s="38"/>
      <c r="AB47" s="38"/>
      <c r="AC47" s="38"/>
      <c r="AD47" s="38"/>
      <c r="AE47" s="38"/>
      <c r="AF47" s="38"/>
      <c r="AG47" s="38"/>
      <c r="AH47" s="38"/>
      <c r="AI47" s="38"/>
      <c r="AJ47" s="38"/>
      <c r="AK47" s="38"/>
    </row>
    <row r="48" spans="1:56" ht="18" customHeight="1" x14ac:dyDescent="0.15">
      <c r="A48" s="38" t="s">
        <v>74</v>
      </c>
      <c r="B48" s="38"/>
      <c r="C48" s="38"/>
      <c r="D48" s="38"/>
      <c r="E48" s="38"/>
      <c r="F48" s="38"/>
      <c r="G48" s="38"/>
      <c r="H48" s="38"/>
      <c r="I48" s="38"/>
      <c r="J48" s="38"/>
      <c r="K48" s="38"/>
      <c r="L48" s="38"/>
      <c r="M48" s="38"/>
      <c r="N48" s="38"/>
      <c r="O48" s="38"/>
      <c r="P48" s="38"/>
      <c r="Q48" s="38"/>
      <c r="R48" s="38"/>
      <c r="S48" s="38"/>
      <c r="T48" s="38"/>
      <c r="U48" s="38"/>
      <c r="V48" s="38"/>
      <c r="W48" s="38"/>
      <c r="X48" s="38"/>
      <c r="Y48" s="38"/>
      <c r="Z48" s="38" t="s">
        <v>75</v>
      </c>
      <c r="AA48" s="38"/>
      <c r="AB48" s="38"/>
      <c r="AC48" s="38"/>
      <c r="AD48" s="38"/>
      <c r="AE48" s="38"/>
      <c r="AF48" s="38"/>
      <c r="AG48" s="38"/>
      <c r="AH48" s="38"/>
      <c r="AI48" s="38"/>
      <c r="AJ48" s="38"/>
      <c r="AK48" s="38"/>
    </row>
    <row r="49" spans="1:37" ht="18" customHeight="1" x14ac:dyDescent="0.15">
      <c r="A49" s="38" t="s">
        <v>76</v>
      </c>
      <c r="B49" s="38"/>
      <c r="C49" s="38"/>
      <c r="D49" s="38"/>
      <c r="E49" s="38"/>
      <c r="F49" s="38"/>
      <c r="G49" s="38"/>
      <c r="H49" s="38"/>
      <c r="I49" s="38"/>
      <c r="J49" s="38"/>
      <c r="K49" s="38"/>
      <c r="L49" s="38"/>
      <c r="M49" s="38"/>
      <c r="N49" s="38"/>
      <c r="O49" s="38"/>
      <c r="P49" s="38"/>
      <c r="Q49" s="38"/>
      <c r="R49" s="38"/>
      <c r="S49" s="38"/>
      <c r="T49" s="38"/>
      <c r="U49" s="38"/>
      <c r="V49" s="38"/>
      <c r="W49" s="38"/>
      <c r="X49" s="38"/>
      <c r="Y49" s="38"/>
      <c r="Z49" s="38" t="s">
        <v>77</v>
      </c>
      <c r="AA49" s="38"/>
      <c r="AB49" s="38"/>
      <c r="AC49" s="38"/>
      <c r="AD49" s="38"/>
      <c r="AE49" s="38"/>
      <c r="AF49" s="38"/>
      <c r="AG49" s="38"/>
      <c r="AH49" s="38"/>
      <c r="AI49" s="38"/>
      <c r="AJ49" s="38"/>
      <c r="AK49" s="38"/>
    </row>
    <row r="50" spans="1:37" ht="18" customHeight="1" x14ac:dyDescent="0.15">
      <c r="A50" s="38" t="s">
        <v>78</v>
      </c>
      <c r="B50" s="38"/>
      <c r="C50" s="38"/>
      <c r="D50" s="38"/>
      <c r="E50" s="38"/>
      <c r="F50" s="38"/>
      <c r="G50" s="38"/>
      <c r="H50" s="38"/>
      <c r="I50" s="38"/>
      <c r="J50" s="38"/>
      <c r="K50" s="38"/>
      <c r="L50" s="38"/>
      <c r="M50" s="38"/>
      <c r="N50" s="38"/>
      <c r="O50" s="38"/>
      <c r="P50" s="38"/>
      <c r="Q50" s="38"/>
      <c r="R50" s="38"/>
      <c r="S50" s="38"/>
      <c r="T50" s="38"/>
      <c r="U50" s="38"/>
      <c r="V50" s="38"/>
      <c r="W50" s="38"/>
      <c r="X50" s="38"/>
      <c r="Y50" s="38"/>
      <c r="Z50" s="38" t="s">
        <v>79</v>
      </c>
      <c r="AA50" s="38"/>
      <c r="AB50" s="38"/>
      <c r="AC50" s="38"/>
      <c r="AD50" s="38"/>
      <c r="AE50" s="38"/>
      <c r="AF50" s="38"/>
      <c r="AG50" s="38"/>
      <c r="AH50" s="38"/>
      <c r="AI50" s="38"/>
      <c r="AJ50" s="38"/>
      <c r="AK50" s="38"/>
    </row>
    <row r="51" spans="1:37" ht="18" customHeight="1" x14ac:dyDescent="0.15">
      <c r="A51" s="38" t="s">
        <v>80</v>
      </c>
      <c r="B51" s="38"/>
      <c r="C51" s="38"/>
      <c r="D51" s="38"/>
      <c r="E51" s="38"/>
      <c r="F51" s="38"/>
      <c r="G51" s="38"/>
      <c r="H51" s="38"/>
      <c r="I51" s="38"/>
      <c r="J51" s="38"/>
      <c r="K51" s="38"/>
      <c r="L51" s="38"/>
      <c r="M51" s="38"/>
      <c r="N51" s="38"/>
      <c r="O51" s="38"/>
      <c r="P51" s="38"/>
      <c r="Q51" s="38"/>
      <c r="R51" s="38"/>
      <c r="S51" s="38"/>
      <c r="T51" s="38"/>
      <c r="U51" s="38"/>
      <c r="V51" s="38"/>
      <c r="W51" s="38"/>
      <c r="X51" s="38"/>
      <c r="Y51" s="38"/>
      <c r="Z51" s="38" t="s">
        <v>81</v>
      </c>
      <c r="AA51" s="38"/>
      <c r="AB51" s="38"/>
      <c r="AC51" s="38"/>
      <c r="AD51" s="38"/>
      <c r="AE51" s="38"/>
      <c r="AF51" s="38"/>
      <c r="AG51" s="38"/>
      <c r="AH51" s="38"/>
      <c r="AI51" s="38"/>
      <c r="AJ51" s="38"/>
      <c r="AK51" s="38"/>
    </row>
    <row r="52" spans="1:37" ht="18" customHeight="1" x14ac:dyDescent="0.15">
      <c r="A52" s="40" t="s">
        <v>82</v>
      </c>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c r="AD52" s="40"/>
      <c r="AE52" s="40"/>
      <c r="AF52" s="40"/>
    </row>
    <row r="53" spans="1:37" ht="73.900000000000006" customHeight="1" x14ac:dyDescent="0.15"/>
    <row r="54" spans="1:37" ht="13.7" customHeight="1" x14ac:dyDescent="0.15">
      <c r="AE54" s="41"/>
      <c r="AF54" s="41"/>
      <c r="AG54" s="41"/>
    </row>
  </sheetData>
  <mergeCells count="156">
    <mergeCell ref="A51:Y51"/>
    <mergeCell ref="Z51:AK51"/>
    <mergeCell ref="A52:AF52"/>
    <mergeCell ref="AE54:AG54"/>
    <mergeCell ref="A33:K34"/>
    <mergeCell ref="A35:D37"/>
    <mergeCell ref="E35:AH37"/>
    <mergeCell ref="B2:C3"/>
    <mergeCell ref="U3:Z4"/>
    <mergeCell ref="A5:P6"/>
    <mergeCell ref="U5:AB6"/>
    <mergeCell ref="AE5:AG6"/>
    <mergeCell ref="A46:Y46"/>
    <mergeCell ref="Z46:AK46"/>
    <mergeCell ref="A47:Y47"/>
    <mergeCell ref="Z47:AK47"/>
    <mergeCell ref="A48:Y48"/>
    <mergeCell ref="Z48:AK48"/>
    <mergeCell ref="A49:Y49"/>
    <mergeCell ref="Z49:AK49"/>
    <mergeCell ref="A50:Y50"/>
    <mergeCell ref="Z50:AK50"/>
    <mergeCell ref="A41:Y41"/>
    <mergeCell ref="Z41:AK41"/>
    <mergeCell ref="A42:Y42"/>
    <mergeCell ref="Z42:AK42"/>
    <mergeCell ref="A43:Y43"/>
    <mergeCell ref="Z43:AK43"/>
    <mergeCell ref="A44:Y44"/>
    <mergeCell ref="Z44:AK44"/>
    <mergeCell ref="A45:R45"/>
    <mergeCell ref="S45:Y45"/>
    <mergeCell ref="Z45:AK45"/>
    <mergeCell ref="A31:I31"/>
    <mergeCell ref="J31:AJ31"/>
    <mergeCell ref="A32:I32"/>
    <mergeCell ref="K32:AK32"/>
    <mergeCell ref="L34:AH34"/>
    <mergeCell ref="AI34:BD34"/>
    <mergeCell ref="A39:K39"/>
    <mergeCell ref="L39:AK39"/>
    <mergeCell ref="A40:C40"/>
    <mergeCell ref="F40:AK40"/>
    <mergeCell ref="A26:M26"/>
    <mergeCell ref="N26:U26"/>
    <mergeCell ref="V26:Y26"/>
    <mergeCell ref="Z26:AK26"/>
    <mergeCell ref="A27:Y27"/>
    <mergeCell ref="Z27:AK27"/>
    <mergeCell ref="A28:AK28"/>
    <mergeCell ref="A30:I30"/>
    <mergeCell ref="J30:AH30"/>
    <mergeCell ref="A25:G25"/>
    <mergeCell ref="H25:O25"/>
    <mergeCell ref="P25:R25"/>
    <mergeCell ref="S25:V25"/>
    <mergeCell ref="W25:Y25"/>
    <mergeCell ref="Z25:AA25"/>
    <mergeCell ref="AJ25:AK25"/>
    <mergeCell ref="A23:G23"/>
    <mergeCell ref="H23:O23"/>
    <mergeCell ref="P23:R23"/>
    <mergeCell ref="S23:V23"/>
    <mergeCell ref="W23:Y23"/>
    <mergeCell ref="Z23:AA23"/>
    <mergeCell ref="AJ23:AK23"/>
    <mergeCell ref="A24:G24"/>
    <mergeCell ref="H24:O24"/>
    <mergeCell ref="P24:R24"/>
    <mergeCell ref="S24:V24"/>
    <mergeCell ref="W24:Y24"/>
    <mergeCell ref="Z24:AA24"/>
    <mergeCell ref="AJ24:AK24"/>
    <mergeCell ref="A21:G21"/>
    <mergeCell ref="H21:O21"/>
    <mergeCell ref="P21:R21"/>
    <mergeCell ref="S21:V21"/>
    <mergeCell ref="W21:Y21"/>
    <mergeCell ref="Z21:AA21"/>
    <mergeCell ref="AJ21:AK21"/>
    <mergeCell ref="A22:G22"/>
    <mergeCell ref="H22:O22"/>
    <mergeCell ref="P22:R22"/>
    <mergeCell ref="S22:V22"/>
    <mergeCell ref="W22:Y22"/>
    <mergeCell ref="Z22:AA22"/>
    <mergeCell ref="AJ22:AK22"/>
    <mergeCell ref="A19:G19"/>
    <mergeCell ref="H19:O19"/>
    <mergeCell ref="P19:R19"/>
    <mergeCell ref="S19:V19"/>
    <mergeCell ref="W19:Y19"/>
    <mergeCell ref="Z19:AA19"/>
    <mergeCell ref="AJ19:AK19"/>
    <mergeCell ref="A20:G20"/>
    <mergeCell ref="H20:O20"/>
    <mergeCell ref="P20:R20"/>
    <mergeCell ref="S20:V20"/>
    <mergeCell ref="W20:Y20"/>
    <mergeCell ref="Z20:AA20"/>
    <mergeCell ref="AJ20:AK20"/>
    <mergeCell ref="A17:G17"/>
    <mergeCell ref="H17:O17"/>
    <mergeCell ref="P17:R17"/>
    <mergeCell ref="S17:V17"/>
    <mergeCell ref="W17:Y17"/>
    <mergeCell ref="Z17:AA17"/>
    <mergeCell ref="AJ17:AK17"/>
    <mergeCell ref="A18:G18"/>
    <mergeCell ref="H18:O18"/>
    <mergeCell ref="P18:R18"/>
    <mergeCell ref="S18:V18"/>
    <mergeCell ref="W18:Y18"/>
    <mergeCell ref="Z18:AA18"/>
    <mergeCell ref="AJ18:AK18"/>
    <mergeCell ref="A15:G15"/>
    <mergeCell ref="H15:O15"/>
    <mergeCell ref="P15:R15"/>
    <mergeCell ref="S15:V15"/>
    <mergeCell ref="W15:Y15"/>
    <mergeCell ref="Z15:AA15"/>
    <mergeCell ref="AJ15:AK15"/>
    <mergeCell ref="A16:G16"/>
    <mergeCell ref="H16:O16"/>
    <mergeCell ref="P16:R16"/>
    <mergeCell ref="S16:V16"/>
    <mergeCell ref="W16:Y16"/>
    <mergeCell ref="Z16:AA16"/>
    <mergeCell ref="AJ16:AK16"/>
    <mergeCell ref="AJ12:AK12"/>
    <mergeCell ref="A13:G13"/>
    <mergeCell ref="H13:O13"/>
    <mergeCell ref="P13:R13"/>
    <mergeCell ref="S13:V13"/>
    <mergeCell ref="W13:Y13"/>
    <mergeCell ref="Z13:AA13"/>
    <mergeCell ref="AJ13:AK13"/>
    <mergeCell ref="A14:G14"/>
    <mergeCell ref="H14:O14"/>
    <mergeCell ref="P14:R14"/>
    <mergeCell ref="S14:V14"/>
    <mergeCell ref="W14:Y14"/>
    <mergeCell ref="Z14:AA14"/>
    <mergeCell ref="AJ14:AK14"/>
    <mergeCell ref="L2:AH2"/>
    <mergeCell ref="A8:S8"/>
    <mergeCell ref="U8:AB8"/>
    <mergeCell ref="AE8:AG8"/>
    <mergeCell ref="A10:AG10"/>
    <mergeCell ref="A11:Q11"/>
    <mergeCell ref="A12:G12"/>
    <mergeCell ref="H12:O12"/>
    <mergeCell ref="P12:R12"/>
    <mergeCell ref="S12:V12"/>
    <mergeCell ref="W12:Y12"/>
    <mergeCell ref="Z12:AA12"/>
  </mergeCells>
  <phoneticPr fontId="16" type="noConversion"/>
  <pageMargins left="0.7" right="0.7" top="0.75" bottom="0.75" header="0.3" footer="0.3"/>
  <pageSetup paperSize="9" scale="78" orientation="portrait" horizontalDpi="300" verticalDpi="300"/>
  <rowBreaks count="1" manualBreakCount="1">
    <brk id="54" max="16383" man="1"/>
  </rowBreaks>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Page1</vt:lpstr>
      <vt:lpstr>Page1!Print_Area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内销订单（含运）</dc:title>
  <dc:creator>FastReport.NET</dc:creator>
  <cp:lastModifiedBy>Antonio Wang</cp:lastModifiedBy>
  <cp:lastPrinted>2026-07-02T02:52:00Z</cp:lastPrinted>
  <dcterms:created xsi:type="dcterms:W3CDTF">2026-04-13T03:31:00Z</dcterms:created>
  <dcterms:modified xsi:type="dcterms:W3CDTF">2026-07-03T05:11:16Z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1BE9F23A30554718B34ABBE0D4FC0414_12</vt:lpwstr>
  </property>
  <property fmtid="{D5CDD505-2E9C-101B-9397-08002B2CF9AE}" pid="3" name="KSOProductBuildVer">
    <vt:lpwstr>2052-12.1.0.26895</vt:lpwstr>
  </property>
  <property fmtid="{D5CDD505-2E9C-101B-9397-08002B2CF9AE}" pid="4" name="CalculationRule">
    <vt:i4>0</vt:i4>
  </property>
</Properties>
</file>