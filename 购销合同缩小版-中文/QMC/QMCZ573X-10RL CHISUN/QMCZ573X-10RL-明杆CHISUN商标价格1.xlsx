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MC\QMCZ573X-10RL CHISUN\"/>
    </mc:Choice>
  </mc:AlternateContent>
  <xr:revisionPtr revIDLastSave="0" documentId="13_ncr:1_{30522537-48BE-470D-9CDB-D8BCFA8B94C4}"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Page1!$A$2:$AK$57</definedName>
  </definedNames>
  <calcPr calcId="181029"/>
</workbook>
</file>

<file path=xl/calcChain.xml><?xml version="1.0" encoding="utf-8"?>
<calcChain xmlns="http://schemas.openxmlformats.org/spreadsheetml/2006/main">
  <c r="AD30" i="1" l="1"/>
  <c r="AD29" i="1"/>
  <c r="AD28" i="1"/>
  <c r="AD27" i="1"/>
  <c r="AD26" i="1"/>
  <c r="AD25" i="1"/>
  <c r="AD24" i="1"/>
  <c r="AD23" i="1"/>
  <c r="AD22" i="1"/>
  <c r="AD21" i="1"/>
  <c r="AD20" i="1"/>
  <c r="AD19" i="1"/>
  <c r="AD18" i="1"/>
  <c r="AD17" i="1"/>
  <c r="AD16" i="1"/>
  <c r="AD15" i="1"/>
  <c r="AD14" i="1"/>
  <c r="AD13" i="1"/>
</calcChain>
</file>

<file path=xl/sharedStrings.xml><?xml version="1.0" encoding="utf-8"?>
<sst xmlns="http://schemas.openxmlformats.org/spreadsheetml/2006/main" count="175" uniqueCount="106">
  <si>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</si>
  <si>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</si>
  <si>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</si>
  <si>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</si>
  <si>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</si>
  <si>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</si>
  <si>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</si>
  <si>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</si>
  <si>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</si>
  <si>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</si>
  <si>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</si>
  <si>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</si>
  <si>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</si>
  <si>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</si>
  <si>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</si>
  <si>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最高承压（BAR）</t>
  </si>
  <si>
    <t>单重（KG）</t>
  </si>
  <si>
    <t>圈数Laps</t>
  </si>
  <si>
    <t>扭矩N.M</t>
  </si>
  <si>
    <t>木箱尺寸（CM）</t>
  </si>
  <si>
    <t>伞齿轮连接型号Bevel Gear Coupling Model</t>
  </si>
  <si>
    <t>双向明杆伞齿轮刀闸阀</t>
  </si>
  <si>
    <t>QMCZ573X-10RL</t>
  </si>
  <si>
    <r>
      <rPr>
        <sz val="8"/>
        <color rgb="FF000000"/>
        <rFont val="宋体"/>
        <family val="3"/>
        <charset val="134"/>
      </rPr>
      <t>DN</t>
    </r>
    <r>
      <rPr>
        <sz val="8"/>
        <color rgb="FF000000"/>
        <rFont val="宋体"/>
        <family val="3"/>
        <charset val="134"/>
      </rPr>
      <t>50</t>
    </r>
  </si>
  <si>
    <t>CF3M</t>
  </si>
  <si>
    <t>台</t>
  </si>
  <si>
    <t>112*42*42</t>
  </si>
  <si>
    <r>
      <rPr>
        <sz val="8"/>
        <color rgb="FF000000"/>
        <rFont val="宋体"/>
        <family val="3"/>
        <charset val="134"/>
      </rPr>
      <t>DN</t>
    </r>
    <r>
      <rPr>
        <sz val="8"/>
        <color rgb="FF000000"/>
        <rFont val="宋体"/>
        <family val="3"/>
        <charset val="134"/>
      </rPr>
      <t>65</t>
    </r>
  </si>
  <si>
    <t>DN80</t>
  </si>
  <si>
    <t>123*46*57</t>
  </si>
  <si>
    <r>
      <rPr>
        <sz val="8"/>
        <color rgb="FF000000"/>
        <rFont val="宋体"/>
        <family val="3"/>
        <charset val="134"/>
      </rPr>
      <t>DN</t>
    </r>
    <r>
      <rPr>
        <sz val="8"/>
        <color rgb="FF000000"/>
        <rFont val="宋体"/>
        <family val="3"/>
        <charset val="134"/>
      </rPr>
      <t>100</t>
    </r>
  </si>
  <si>
    <t>115*55*57</t>
  </si>
  <si>
    <r>
      <rPr>
        <sz val="8"/>
        <color rgb="FF000000"/>
        <rFont val="宋体"/>
        <family val="3"/>
        <charset val="134"/>
      </rPr>
      <t>DN</t>
    </r>
    <r>
      <rPr>
        <sz val="8"/>
        <color rgb="FF000000"/>
        <rFont val="宋体"/>
        <family val="3"/>
        <charset val="134"/>
      </rPr>
      <t>125</t>
    </r>
  </si>
  <si>
    <t>112*60*57</t>
  </si>
  <si>
    <t>DN150</t>
  </si>
  <si>
    <t>105*72*57</t>
  </si>
  <si>
    <t>DN200</t>
  </si>
  <si>
    <t>117*80*57</t>
  </si>
  <si>
    <t>DN250</t>
  </si>
  <si>
    <t>144*93*57</t>
  </si>
  <si>
    <t>DN300</t>
  </si>
  <si>
    <t>127*110*57</t>
  </si>
  <si>
    <t>DN350</t>
  </si>
  <si>
    <t>138*117*65</t>
  </si>
  <si>
    <t>DN400</t>
  </si>
  <si>
    <t>104*135*70</t>
  </si>
  <si>
    <t>DN450</t>
  </si>
  <si>
    <t>160*120*47</t>
  </si>
  <si>
    <t>DN500</t>
  </si>
  <si>
    <t>165*124*55</t>
  </si>
  <si>
    <t>DN600</t>
  </si>
  <si>
    <t>195*71*55</t>
  </si>
  <si>
    <t>DN700</t>
  </si>
  <si>
    <t>238*85*65</t>
  </si>
  <si>
    <t>DN800</t>
  </si>
  <si>
    <t>260*96*67</t>
  </si>
  <si>
    <t>DN900</t>
  </si>
  <si>
    <t>285*110*79</t>
  </si>
  <si>
    <t>DN1000</t>
  </si>
  <si>
    <t>295*120*80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</si>
  <si>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</si>
  <si>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</si>
  <si>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</si>
  <si>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</si>
  <si>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</si>
  <si>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</si>
  <si>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</si>
  <si>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</si>
  <si>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</si>
  <si>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</si>
  <si>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</si>
  <si>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</si>
  <si>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</si>
  <si>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</si>
  <si>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</si>
  <si>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</si>
  <si>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</si>
  <si>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</si>
  <si>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</si>
  <si>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</si>
  <si>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</si>
  <si>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</si>
  <si>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</si>
  <si>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</si>
  <si>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</si>
  <si>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</si>
  <si>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</si>
  <si>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</si>
  <si>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</si>
  <si>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</si>
  <si>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</si>
  <si>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</si>
  <si>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</si>
  <si>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</si>
  <si>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</si>
  <si>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</si>
  <si>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</si>
  <si>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</si>
  <si>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</si>
  <si>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</si>
  <si>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</si>
  <si>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</si>
  <si>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</si>
  <si>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体CF3M。板316L，橡胶密封双向密封，法兰按PN10，实际工作压力50-200的10kg,250-400的7kg,，450-600的5kg,700-1000的2kg,</t>
    <phoneticPr fontId="17" type="noConversion"/>
  </si>
  <si>
    <t>单价≥A</t>
    <phoneticPr fontId="17" type="noConversion"/>
  </si>
  <si>
    <t>单价&lt;A</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</si>
</sst>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8"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sz val="8"/>
      <name val="宋体"/>
      <family val="3"/>
      <charset val="134"/>
    </font>
    <font>
      <b/>
      <sz val="8"/>
      <color theme="1"/>
      <name val="宋体"/>
      <family val="3"/>
      <charset val="134"/>
    </font>
    <font>
      <sz val="9"/>
      <name val="宋体"/>
      <family val="3"/>
      <charset val="134"/>
      <scheme val="minor"/>
    </font>
    <font>
      <sz val="9"/>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12"/>
      <name val="宋体"/>
      <family val="3"/>
      <charset val="134"/>
    </font>
    <font>
      <sz val="9"/>
      <color rgb="FF000000"/>
      <name val="宋体"/>
      <family val="3"/>
      <charset val="134"/>
    </font>
    <font>
      <b/>
      <sz val="8"/>
      <color rgb="FFFF0000"/>
      <name val="宋体"/>
      <family val="3"/>
      <charset val="134"/>
    </font>
    <font>
      <b/>
      <sz val="12"/>
      <color rgb="FFFF0000"/>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auto="1"/>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4" fillId="0" borderId="0"/>
    <xf numFmtId="0" fontId="13" fillId="0" borderId="0">
      <alignment vertical="center"/>
    </xf>
  </cellStyleXfs>
  <cellXfs count="53">
    <xf numFmtId="0" fontId="0" fillId="2" borderId="0" xfId="0" applyFill="1"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3" fillId="2" borderId="1" xfId="1" applyFont="1" applyFill="1" applyBorder="1" applyAlignment="1">
      <alignment horizontal="center" vertical="center" wrapText="1"/>
    </xf>
    <xf numFmtId="0" fontId="7" fillId="3" borderId="3" xfId="0" applyFont="1" applyFill="1" applyBorder="1" applyAlignment="1">
      <alignment horizontal="center" vertical="center"/>
    </xf>
    <xf numFmtId="176" fontId="5" fillId="3" borderId="2" xfId="2" applyNumberFormat="1" applyFont="1" applyFill="1" applyBorder="1" applyAlignment="1">
      <alignment horizontal="center" vertical="center" wrapText="1"/>
    </xf>
    <xf numFmtId="0" fontId="8" fillId="3" borderId="3" xfId="0" applyFont="1" applyFill="1" applyBorder="1" applyAlignment="1">
      <alignment horizontal="center" vertical="center"/>
    </xf>
    <xf numFmtId="0" fontId="3" fillId="2" borderId="5" xfId="1" applyFont="1" applyFill="1" applyBorder="1" applyAlignment="1">
      <alignment horizontal="center" vertical="center" wrapText="1"/>
    </xf>
    <xf numFmtId="0" fontId="6" fillId="3" borderId="0" xfId="0" applyFont="1" applyFill="1" applyAlignment="1">
      <alignment horizontal="center" vertical="center"/>
    </xf>
    <xf numFmtId="0" fontId="5" fillId="3" borderId="6" xfId="0" applyFont="1" applyFill="1" applyBorder="1" applyAlignment="1">
      <alignment horizontal="center" vertical="center" wrapText="1"/>
    </xf>
    <xf numFmtId="0" fontId="7" fillId="3" borderId="7" xfId="0" applyFont="1" applyFill="1" applyBorder="1" applyAlignment="1">
      <alignment horizontal="center" vertical="center"/>
    </xf>
    <xf numFmtId="0" fontId="3" fillId="2" borderId="8" xfId="1" applyFont="1" applyFill="1" applyBorder="1" applyAlignment="1">
      <alignment horizontal="center" vertical="center" wrapText="1"/>
    </xf>
    <xf numFmtId="0" fontId="7" fillId="3" borderId="1" xfId="0" applyFont="1" applyFill="1" applyBorder="1" applyAlignment="1">
      <alignment horizontal="center" vertical="center"/>
    </xf>
    <xf numFmtId="0" fontId="9" fillId="2" borderId="0" xfId="0" applyFont="1" applyFill="1" applyAlignment="1">
      <alignment horizontal="left" vertical="center" wrapText="1"/>
    </xf>
    <xf numFmtId="0" fontId="9" fillId="2" borderId="0" xfId="0" applyFont="1" applyFill="1" applyAlignment="1">
      <alignment vertical="center" wrapText="1"/>
    </xf>
    <xf numFmtId="0" fontId="15" fillId="3" borderId="1" xfId="0" applyFont="1" applyFill="1" applyBorder="1" applyAlignment="1">
      <alignment horizontal="center" vertical="center" wrapText="1"/>
    </xf>
    <xf numFmtId="176" fontId="16" fillId="3" borderId="2" xfId="0" applyNumberFormat="1" applyFont="1" applyFill="1" applyBorder="1" applyAlignment="1">
      <alignment horizontal="center" vertical="center"/>
    </xf>
    <xf numFmtId="176" fontId="15" fillId="3" borderId="2" xfId="0" applyNumberFormat="1" applyFont="1" applyFill="1" applyBorder="1" applyAlignment="1">
      <alignment horizontal="center" vertical="center"/>
    </xf>
    <xf numFmtId="0" fontId="16" fillId="3" borderId="2" xfId="0" applyFont="1" applyFill="1" applyBorder="1" applyAlignment="1">
      <alignment horizontal="center" vertical="center"/>
    </xf>
    <xf numFmtId="0" fontId="15" fillId="3" borderId="2" xfId="0" applyFont="1" applyFill="1" applyBorder="1" applyAlignment="1">
      <alignment horizontal="center" vertical="center"/>
    </xf>
    <xf numFmtId="0" fontId="1" fillId="2" borderId="0" xfId="0" applyFont="1" applyFill="1" applyAlignment="1">
      <alignment horizontal="center" vertical="center"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2" xfId="0" applyFill="1" applyBorder="1" applyAlignment="1">
      <alignment horizontal="center" vertical="top" wrapText="1"/>
    </xf>
    <xf numFmtId="0" fontId="2" fillId="2" borderId="6" xfId="0" applyFont="1" applyFill="1" applyBorder="1" applyAlignment="1">
      <alignment horizontal="center" vertical="center" wrapText="1"/>
    </xf>
    <xf numFmtId="39" fontId="2" fillId="2" borderId="1" xfId="0" applyNumberFormat="1" applyFont="1" applyFill="1" applyBorder="1" applyAlignment="1">
      <alignment horizontal="left" vertical="center" wrapText="1"/>
    </xf>
    <xf numFmtId="39" fontId="2" fillId="2" borderId="1" xfId="0" applyNumberFormat="1" applyFont="1" applyFill="1" applyBorder="1" applyAlignment="1">
      <alignment horizontal="center" vertical="center" wrapText="1"/>
    </xf>
    <xf numFmtId="0" fontId="2" fillId="2" borderId="9"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9" fillId="2" borderId="0" xfId="0" applyFont="1" applyFill="1" applyAlignment="1">
      <alignment horizontal="left" vertical="center" wrapText="1"/>
    </xf>
    <xf numFmtId="0" fontId="10" fillId="2" borderId="0" xfId="0" applyFont="1" applyFill="1" applyAlignment="1">
      <alignment horizontal="left" vertical="center" wrapText="1"/>
    </xf>
    <xf numFmtId="0" fontId="9" fillId="2" borderId="0" xfId="0" applyFont="1" applyFill="1" applyAlignment="1">
      <alignment vertical="center" wrapText="1"/>
    </xf>
    <xf numFmtId="0" fontId="11" fillId="2" borderId="0" xfId="0" applyFont="1" applyFill="1" applyAlignment="1">
      <alignment horizontal="center" vertical="center" wrapText="1"/>
    </xf>
    <xf numFmtId="0" fontId="12" fillId="2" borderId="0" xfId="0" applyFont="1" applyFill="1" applyAlignment="1">
      <alignment horizontal="left" vertical="center" wrapText="1"/>
    </xf>
    <xf numFmtId="0" fontId="2" fillId="2" borderId="2" xfId="0" applyFont="1" applyFill="1" applyBorder="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4" fillId="2" borderId="1" xfId="1" applyFont="1" applyFill="1" applyBorder="1" applyAlignment="1">
      <alignment horizontal="center" vertical="center" wrapText="1"/>
    </xf>
  </cellXfs>
  <cellStyles count="3">
    <cellStyle name="常规" xfId="0" builtinId="0"/>
    <cellStyle name="常规 2" xfId="1" xr:uid="{00000000-0005-0000-0000-000031000000}"/>
    <cellStyle name="常规_QU-QC-V型球阀" xfId="2" xr:uid="{00000000-0005-0000-0000-00003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454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9"/>
  <sheetViews>
    <sheetView tabSelected="1" topLeftCell="A10" zoomScale="130" zoomScaleNormal="130" workbookViewId="0">
      <selection activeCell="W16" sqref="W16:Y16"/>
    </sheetView>
  </sheetViews>
  <sheetFormatPr defaultColWidth="9"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6.1640625" customWidth="1"/>
    <col min="8" max="8" width="1.5" customWidth="1"/>
    <col min="9" max="9" width="0.5" customWidth="1"/>
    <col min="10" max="10" width="1.5" customWidth="1"/>
    <col min="11" max="11" width="3" customWidth="1"/>
    <col min="12" max="14" width="1.5" customWidth="1"/>
    <col min="15" max="15" width="2.66406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5.6640625" customWidth="1"/>
    <col min="26" max="26" width="3" customWidth="1"/>
    <col min="27" max="27" width="1.5" customWidth="1"/>
    <col min="28" max="28" width="8.1640625" customWidth="1"/>
    <col min="29" max="29" width="8.5" customWidth="1"/>
    <col min="30" max="30" width="10.5"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50"/>
      <c r="C2" s="50"/>
      <c r="L2" s="26" t="s">
        <v>0</v>
      </c>
      <c r="M2" s="26"/>
      <c r="N2" s="26"/>
      <c r="O2" s="26"/>
      <c r="P2" s="26"/>
      <c r="Q2" s="26"/>
      <c r="R2" s="26"/>
      <c r="S2" s="26"/>
      <c r="T2" s="26"/>
      <c r="U2" s="26"/>
      <c r="V2" s="26"/>
      <c r="W2" s="26"/>
      <c r="X2" s="26"/>
      <c r="Y2" s="26"/>
      <c r="Z2" s="26"/>
      <c r="AA2" s="26"/>
      <c r="AB2" s="26"/>
      <c r="AC2" s="26"/>
      <c r="AD2" s="26"/>
      <c r="AE2" s="26"/>
      <c r="AF2" s="26"/>
      <c r="AG2" s="26"/>
      <c r="AH2" s="26"/>
    </row>
    <row r="3" spans="1:37" ht="13.7" customHeight="1" x14ac:dyDescent="0.15">
      <c r="B3" s="50"/>
      <c r="C3" s="50"/>
      <c r="U3" s="51" t="s">
        <v>1</v>
      </c>
      <c r="V3" s="51"/>
      <c r="W3" s="51"/>
      <c r="X3" s="51"/>
      <c r="Y3" s="51"/>
      <c r="Z3" s="51"/>
    </row>
    <row r="4" spans="1:37" ht="4.3499999999999996" customHeight="1" x14ac:dyDescent="0.15">
      <c r="U4" s="51"/>
      <c r="V4" s="51"/>
      <c r="W4" s="51"/>
      <c r="X4" s="51"/>
      <c r="Y4" s="51"/>
      <c r="Z4" s="51"/>
    </row>
    <row r="5" spans="1:37" ht="2.65" customHeight="1" x14ac:dyDescent="0.15">
      <c r="A5" s="27" t="s">
        <v>2</v>
      </c>
      <c r="B5" s="27"/>
      <c r="C5" s="27"/>
      <c r="D5" s="27"/>
      <c r="E5" s="27"/>
      <c r="F5" s="27"/>
      <c r="G5" s="27"/>
      <c r="H5" s="27"/>
      <c r="I5" s="27"/>
      <c r="J5" s="27"/>
      <c r="K5" s="27"/>
      <c r="L5" s="27"/>
      <c r="M5" s="27"/>
      <c r="N5" s="27"/>
      <c r="O5" s="27"/>
      <c r="P5" s="27"/>
      <c r="U5" s="27" t="s">
        <v>3</v>
      </c>
      <c r="V5" s="27"/>
      <c r="W5" s="27"/>
      <c r="X5" s="27"/>
      <c r="Y5" s="27"/>
      <c r="Z5" s="27"/>
      <c r="AA5" s="27"/>
      <c r="AB5" s="27"/>
      <c r="AE5" s="27"/>
      <c r="AF5" s="27"/>
      <c r="AG5" s="27"/>
    </row>
    <row r="6" spans="1:37" ht="11.1" customHeight="1" x14ac:dyDescent="0.15">
      <c r="A6" s="27"/>
      <c r="B6" s="27"/>
      <c r="C6" s="27"/>
      <c r="D6" s="27"/>
      <c r="E6" s="27"/>
      <c r="F6" s="27"/>
      <c r="G6" s="27"/>
      <c r="H6" s="27"/>
      <c r="I6" s="27"/>
      <c r="J6" s="27"/>
      <c r="K6" s="27"/>
      <c r="L6" s="27"/>
      <c r="M6" s="27"/>
      <c r="N6" s="27"/>
      <c r="O6" s="27"/>
      <c r="P6" s="27"/>
      <c r="U6" s="27"/>
      <c r="V6" s="27"/>
      <c r="W6" s="27"/>
      <c r="X6" s="27"/>
      <c r="Y6" s="27"/>
      <c r="Z6" s="27"/>
      <c r="AA6" s="27"/>
      <c r="AB6" s="27"/>
      <c r="AE6" s="27"/>
      <c r="AF6" s="27"/>
      <c r="AG6" s="27"/>
    </row>
    <row r="7" spans="1:37" ht="2.65" customHeight="1" x14ac:dyDescent="0.15"/>
    <row r="8" spans="1:37" ht="13.7" customHeight="1" x14ac:dyDescent="0.15">
      <c r="A8" s="27" t="s">
        <v>4</v>
      </c>
      <c r="B8" s="27"/>
      <c r="C8" s="27"/>
      <c r="D8" s="27"/>
      <c r="E8" s="27"/>
      <c r="F8" s="27"/>
      <c r="G8" s="27"/>
      <c r="H8" s="27"/>
      <c r="I8" s="27"/>
      <c r="J8" s="27"/>
      <c r="K8" s="27"/>
      <c r="L8" s="27"/>
      <c r="M8" s="27"/>
      <c r="N8" s="27"/>
      <c r="O8" s="27"/>
      <c r="P8" s="27"/>
      <c r="Q8" s="27"/>
      <c r="R8" s="27"/>
      <c r="S8" s="27"/>
      <c r="U8" s="27" t="s">
        <v>5</v>
      </c>
      <c r="V8" s="27"/>
      <c r="W8" s="27"/>
      <c r="X8" s="27"/>
      <c r="Y8" s="27"/>
      <c r="Z8" s="27"/>
      <c r="AA8" s="27"/>
      <c r="AB8" s="27"/>
      <c r="AE8" s="27"/>
      <c r="AF8" s="27"/>
      <c r="AG8" s="27"/>
    </row>
    <row r="9" spans="1:37" ht="6.95" customHeight="1" x14ac:dyDescent="0.15"/>
    <row r="10" spans="1:37" ht="13.7" customHeight="1" x14ac:dyDescent="0.15">
      <c r="A10" s="27" t="s">
        <v>6</v>
      </c>
      <c r="B10" s="27"/>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row>
    <row r="11" spans="1:37" ht="13.7" customHeight="1" x14ac:dyDescent="0.15">
      <c r="A11" s="27" t="s">
        <v>7</v>
      </c>
      <c r="B11" s="27"/>
      <c r="C11" s="27"/>
      <c r="D11" s="27"/>
      <c r="E11" s="27"/>
      <c r="F11" s="27"/>
      <c r="G11" s="27"/>
      <c r="H11" s="27"/>
      <c r="I11" s="27"/>
      <c r="J11" s="27"/>
      <c r="K11" s="27"/>
      <c r="L11" s="27"/>
      <c r="M11" s="27"/>
      <c r="N11" s="27"/>
      <c r="O11" s="27"/>
      <c r="P11" s="27"/>
      <c r="Q11" s="27"/>
    </row>
    <row r="12" spans="1:37" ht="43.5" customHeight="1" x14ac:dyDescent="0.15">
      <c r="A12" s="28" t="s">
        <v>8</v>
      </c>
      <c r="B12" s="28"/>
      <c r="C12" s="28"/>
      <c r="D12" s="28"/>
      <c r="E12" s="28"/>
      <c r="F12" s="28"/>
      <c r="G12" s="28"/>
      <c r="H12" s="28" t="s">
        <v>9</v>
      </c>
      <c r="I12" s="28"/>
      <c r="J12" s="28"/>
      <c r="K12" s="28"/>
      <c r="L12" s="28"/>
      <c r="M12" s="28"/>
      <c r="N12" s="28"/>
      <c r="O12" s="28"/>
      <c r="P12" s="28" t="s">
        <v>10</v>
      </c>
      <c r="Q12" s="28"/>
      <c r="R12" s="28"/>
      <c r="S12" s="28" t="s">
        <v>11</v>
      </c>
      <c r="T12" s="28"/>
      <c r="U12" s="28"/>
      <c r="V12" s="28"/>
      <c r="W12" s="28" t="s">
        <v>12</v>
      </c>
      <c r="X12" s="28"/>
      <c r="Y12" s="28"/>
      <c r="Z12" s="28" t="s">
        <v>13</v>
      </c>
      <c r="AA12" s="28"/>
      <c r="AB12" s="2" t="s">
        <v>14</v>
      </c>
      <c r="AC12" s="3" t="s">
        <v>104</v>
      </c>
      <c r="AD12" s="4" t="s">
        <v>105</v>
      </c>
      <c r="AE12" s="2" t="s">
        <v>15</v>
      </c>
      <c r="AF12" s="2" t="s">
        <v>16</v>
      </c>
      <c r="AG12" s="2" t="s">
        <v>17</v>
      </c>
      <c r="AH12" s="2" t="s">
        <v>18</v>
      </c>
      <c r="AI12" s="5" t="s">
        <v>19</v>
      </c>
      <c r="AJ12" s="29" t="s">
        <v>20</v>
      </c>
      <c r="AK12" s="29"/>
    </row>
    <row r="13" spans="1:37" ht="13.7" customHeight="1" x14ac:dyDescent="0.15">
      <c r="A13" s="30" t="s">
        <v>21</v>
      </c>
      <c r="B13" s="30"/>
      <c r="C13" s="30"/>
      <c r="D13" s="30"/>
      <c r="E13" s="30"/>
      <c r="F13" s="30"/>
      <c r="G13" s="30"/>
      <c r="H13" s="30" t="s">
        <v>22</v>
      </c>
      <c r="I13" s="30"/>
      <c r="J13" s="30"/>
      <c r="K13" s="30"/>
      <c r="L13" s="30"/>
      <c r="M13" s="30"/>
      <c r="N13" s="30"/>
      <c r="O13" s="30"/>
      <c r="P13" s="30" t="s">
        <v>23</v>
      </c>
      <c r="Q13" s="30"/>
      <c r="R13" s="30"/>
      <c r="S13" s="30" t="s">
        <v>24</v>
      </c>
      <c r="T13" s="30"/>
      <c r="U13" s="30"/>
      <c r="V13" s="30"/>
      <c r="W13" s="28"/>
      <c r="X13" s="28"/>
      <c r="Y13" s="28"/>
      <c r="Z13" s="28" t="s">
        <v>25</v>
      </c>
      <c r="AA13" s="28"/>
      <c r="AB13" s="52">
        <v>10</v>
      </c>
      <c r="AC13" s="7">
        <v>1170</v>
      </c>
      <c r="AD13" s="8">
        <f t="shared" ref="AD13:AD19" si="0">ROUND(AC13*1.3,-1)</f>
        <v>1520</v>
      </c>
      <c r="AE13" s="21">
        <v>16</v>
      </c>
      <c r="AF13" s="9">
        <v>8</v>
      </c>
      <c r="AG13" s="22"/>
      <c r="AH13" s="23">
        <v>45</v>
      </c>
      <c r="AI13" s="10" t="s">
        <v>26</v>
      </c>
      <c r="AJ13" s="31"/>
      <c r="AK13" s="31"/>
    </row>
    <row r="14" spans="1:37" ht="13.7" customHeight="1" x14ac:dyDescent="0.15">
      <c r="A14" s="30" t="s">
        <v>21</v>
      </c>
      <c r="B14" s="30"/>
      <c r="C14" s="30"/>
      <c r="D14" s="30"/>
      <c r="E14" s="30"/>
      <c r="F14" s="30"/>
      <c r="G14" s="30"/>
      <c r="H14" s="30" t="s">
        <v>22</v>
      </c>
      <c r="I14" s="30"/>
      <c r="J14" s="30"/>
      <c r="K14" s="30"/>
      <c r="L14" s="30"/>
      <c r="M14" s="30"/>
      <c r="N14" s="30"/>
      <c r="O14" s="30"/>
      <c r="P14" s="30" t="s">
        <v>27</v>
      </c>
      <c r="Q14" s="30"/>
      <c r="R14" s="30"/>
      <c r="S14" s="30" t="s">
        <v>24</v>
      </c>
      <c r="T14" s="30"/>
      <c r="U14" s="30"/>
      <c r="V14" s="30"/>
      <c r="W14" s="28"/>
      <c r="X14" s="28"/>
      <c r="Y14" s="28"/>
      <c r="Z14" s="28" t="s">
        <v>25</v>
      </c>
      <c r="AA14" s="28"/>
      <c r="AB14" s="52">
        <v>10</v>
      </c>
      <c r="AC14" s="7">
        <v>1190</v>
      </c>
      <c r="AD14" s="8">
        <f t="shared" si="0"/>
        <v>1550</v>
      </c>
      <c r="AE14" s="21">
        <v>16</v>
      </c>
      <c r="AF14" s="9">
        <v>9.1999999999999993</v>
      </c>
      <c r="AG14" s="22"/>
      <c r="AH14" s="23">
        <v>45</v>
      </c>
      <c r="AI14" s="10" t="s">
        <v>26</v>
      </c>
      <c r="AJ14" s="31"/>
      <c r="AK14" s="31"/>
    </row>
    <row r="15" spans="1:37" ht="13.7" customHeight="1" x14ac:dyDescent="0.15">
      <c r="A15" s="30" t="s">
        <v>21</v>
      </c>
      <c r="B15" s="30"/>
      <c r="C15" s="30"/>
      <c r="D15" s="30"/>
      <c r="E15" s="30"/>
      <c r="F15" s="30"/>
      <c r="G15" s="30"/>
      <c r="H15" s="30" t="s">
        <v>22</v>
      </c>
      <c r="I15" s="30"/>
      <c r="J15" s="30"/>
      <c r="K15" s="30"/>
      <c r="L15" s="30"/>
      <c r="M15" s="30"/>
      <c r="N15" s="30"/>
      <c r="O15" s="30"/>
      <c r="P15" s="30" t="s">
        <v>28</v>
      </c>
      <c r="Q15" s="30"/>
      <c r="R15" s="30"/>
      <c r="S15" s="30" t="s">
        <v>24</v>
      </c>
      <c r="T15" s="30"/>
      <c r="U15" s="30"/>
      <c r="V15" s="30"/>
      <c r="W15" s="28"/>
      <c r="X15" s="28"/>
      <c r="Y15" s="28"/>
      <c r="Z15" s="28" t="s">
        <v>25</v>
      </c>
      <c r="AA15" s="28"/>
      <c r="AB15" s="52">
        <v>10</v>
      </c>
      <c r="AC15" s="11">
        <v>1205</v>
      </c>
      <c r="AD15" s="8">
        <f t="shared" si="0"/>
        <v>1570</v>
      </c>
      <c r="AE15" s="21">
        <v>16</v>
      </c>
      <c r="AF15" s="9">
        <v>11</v>
      </c>
      <c r="AG15" s="22"/>
      <c r="AH15" s="23">
        <v>45</v>
      </c>
      <c r="AI15" s="10" t="s">
        <v>29</v>
      </c>
      <c r="AJ15" s="31"/>
      <c r="AK15" s="31"/>
    </row>
    <row r="16" spans="1:37" ht="13.7" customHeight="1" x14ac:dyDescent="0.15">
      <c r="A16" s="30" t="s">
        <v>21</v>
      </c>
      <c r="B16" s="30"/>
      <c r="C16" s="30"/>
      <c r="D16" s="30"/>
      <c r="E16" s="30"/>
      <c r="F16" s="30"/>
      <c r="G16" s="30"/>
      <c r="H16" s="30" t="s">
        <v>22</v>
      </c>
      <c r="I16" s="30"/>
      <c r="J16" s="30"/>
      <c r="K16" s="30"/>
      <c r="L16" s="30"/>
      <c r="M16" s="30"/>
      <c r="N16" s="30"/>
      <c r="O16" s="30"/>
      <c r="P16" s="30" t="s">
        <v>30</v>
      </c>
      <c r="Q16" s="30"/>
      <c r="R16" s="30"/>
      <c r="S16" s="30" t="s">
        <v>24</v>
      </c>
      <c r="T16" s="30"/>
      <c r="U16" s="30"/>
      <c r="V16" s="30"/>
      <c r="W16" s="28"/>
      <c r="X16" s="28"/>
      <c r="Y16" s="28"/>
      <c r="Z16" s="28" t="s">
        <v>25</v>
      </c>
      <c r="AA16" s="28"/>
      <c r="AB16" s="52">
        <v>10</v>
      </c>
      <c r="AC16" s="11">
        <v>1525</v>
      </c>
      <c r="AD16" s="8">
        <f t="shared" si="0"/>
        <v>1980</v>
      </c>
      <c r="AE16" s="21">
        <v>16</v>
      </c>
      <c r="AF16" s="9">
        <v>14</v>
      </c>
      <c r="AG16" s="22"/>
      <c r="AH16" s="23">
        <v>45</v>
      </c>
      <c r="AI16" s="10" t="s">
        <v>31</v>
      </c>
      <c r="AJ16" s="31"/>
      <c r="AK16" s="31"/>
    </row>
    <row r="17" spans="1:39" ht="13.7" customHeight="1" x14ac:dyDescent="0.15">
      <c r="A17" s="30" t="s">
        <v>21</v>
      </c>
      <c r="B17" s="30"/>
      <c r="C17" s="30"/>
      <c r="D17" s="30"/>
      <c r="E17" s="30"/>
      <c r="F17" s="30"/>
      <c r="G17" s="30"/>
      <c r="H17" s="30" t="s">
        <v>22</v>
      </c>
      <c r="I17" s="30"/>
      <c r="J17" s="30"/>
      <c r="K17" s="30"/>
      <c r="L17" s="30"/>
      <c r="M17" s="30"/>
      <c r="N17" s="30"/>
      <c r="O17" s="30"/>
      <c r="P17" s="30" t="s">
        <v>32</v>
      </c>
      <c r="Q17" s="30"/>
      <c r="R17" s="30"/>
      <c r="S17" s="30" t="s">
        <v>24</v>
      </c>
      <c r="T17" s="30"/>
      <c r="U17" s="30"/>
      <c r="V17" s="30"/>
      <c r="W17" s="28"/>
      <c r="X17" s="28"/>
      <c r="Y17" s="28"/>
      <c r="Z17" s="28" t="s">
        <v>25</v>
      </c>
      <c r="AA17" s="28"/>
      <c r="AB17" s="52">
        <v>10</v>
      </c>
      <c r="AC17" s="11">
        <v>1890</v>
      </c>
      <c r="AD17" s="8">
        <f t="shared" si="0"/>
        <v>2460</v>
      </c>
      <c r="AE17" s="21">
        <v>10</v>
      </c>
      <c r="AF17" s="9">
        <v>19</v>
      </c>
      <c r="AG17" s="22"/>
      <c r="AH17" s="23">
        <v>45</v>
      </c>
      <c r="AI17" s="10" t="s">
        <v>33</v>
      </c>
      <c r="AJ17" s="31"/>
      <c r="AK17" s="31"/>
    </row>
    <row r="18" spans="1:39" ht="13.7" customHeight="1" x14ac:dyDescent="0.15">
      <c r="A18" s="30" t="s">
        <v>21</v>
      </c>
      <c r="B18" s="30"/>
      <c r="C18" s="30"/>
      <c r="D18" s="30"/>
      <c r="E18" s="30"/>
      <c r="F18" s="30"/>
      <c r="G18" s="30"/>
      <c r="H18" s="30" t="s">
        <v>22</v>
      </c>
      <c r="I18" s="30"/>
      <c r="J18" s="30"/>
      <c r="K18" s="30"/>
      <c r="L18" s="30"/>
      <c r="M18" s="30"/>
      <c r="N18" s="30"/>
      <c r="O18" s="30"/>
      <c r="P18" s="30" t="s">
        <v>34</v>
      </c>
      <c r="Q18" s="30"/>
      <c r="R18" s="30"/>
      <c r="S18" s="30" t="s">
        <v>24</v>
      </c>
      <c r="T18" s="30"/>
      <c r="U18" s="30"/>
      <c r="V18" s="30"/>
      <c r="W18" s="28"/>
      <c r="X18" s="28"/>
      <c r="Y18" s="28"/>
      <c r="Z18" s="28" t="s">
        <v>25</v>
      </c>
      <c r="AA18" s="28"/>
      <c r="AB18" s="52">
        <v>10</v>
      </c>
      <c r="AC18" s="11">
        <v>2345</v>
      </c>
      <c r="AD18" s="8">
        <f t="shared" si="0"/>
        <v>3050</v>
      </c>
      <c r="AE18" s="21">
        <v>10</v>
      </c>
      <c r="AF18" s="9">
        <v>26</v>
      </c>
      <c r="AG18" s="22"/>
      <c r="AH18" s="23">
        <v>50</v>
      </c>
      <c r="AI18" s="10" t="s">
        <v>35</v>
      </c>
      <c r="AJ18" s="31"/>
      <c r="AK18" s="31"/>
    </row>
    <row r="19" spans="1:39" ht="13.7" customHeight="1" x14ac:dyDescent="0.15">
      <c r="A19" s="30" t="s">
        <v>21</v>
      </c>
      <c r="B19" s="30"/>
      <c r="C19" s="30"/>
      <c r="D19" s="30"/>
      <c r="E19" s="30"/>
      <c r="F19" s="30"/>
      <c r="G19" s="30"/>
      <c r="H19" s="30" t="s">
        <v>22</v>
      </c>
      <c r="I19" s="30"/>
      <c r="J19" s="30"/>
      <c r="K19" s="30"/>
      <c r="L19" s="30"/>
      <c r="M19" s="30"/>
      <c r="N19" s="30"/>
      <c r="O19" s="30"/>
      <c r="P19" s="30" t="s">
        <v>36</v>
      </c>
      <c r="Q19" s="30"/>
      <c r="R19" s="30"/>
      <c r="S19" s="30" t="s">
        <v>24</v>
      </c>
      <c r="T19" s="30"/>
      <c r="U19" s="30"/>
      <c r="V19" s="30"/>
      <c r="W19" s="28"/>
      <c r="X19" s="28"/>
      <c r="Y19" s="28"/>
      <c r="Z19" s="28" t="s">
        <v>25</v>
      </c>
      <c r="AA19" s="28"/>
      <c r="AB19" s="52">
        <v>10</v>
      </c>
      <c r="AC19" s="11">
        <v>2750</v>
      </c>
      <c r="AD19" s="8">
        <f t="shared" si="0"/>
        <v>3580</v>
      </c>
      <c r="AE19" s="21">
        <v>10</v>
      </c>
      <c r="AF19" s="9">
        <v>37</v>
      </c>
      <c r="AG19" s="22"/>
      <c r="AH19" s="23">
        <v>50</v>
      </c>
      <c r="AI19" s="12" t="s">
        <v>37</v>
      </c>
      <c r="AJ19" s="31"/>
      <c r="AK19" s="31"/>
    </row>
    <row r="20" spans="1:39" ht="13.7" customHeight="1" x14ac:dyDescent="0.15">
      <c r="A20" s="30" t="s">
        <v>21</v>
      </c>
      <c r="B20" s="30"/>
      <c r="C20" s="30"/>
      <c r="D20" s="30"/>
      <c r="E20" s="30"/>
      <c r="F20" s="30"/>
      <c r="G20" s="30"/>
      <c r="H20" s="30" t="s">
        <v>22</v>
      </c>
      <c r="I20" s="30"/>
      <c r="J20" s="30"/>
      <c r="K20" s="30"/>
      <c r="L20" s="30"/>
      <c r="M20" s="30"/>
      <c r="N20" s="30"/>
      <c r="O20" s="30"/>
      <c r="P20" s="30" t="s">
        <v>38</v>
      </c>
      <c r="Q20" s="30"/>
      <c r="R20" s="30"/>
      <c r="S20" s="30" t="s">
        <v>24</v>
      </c>
      <c r="T20" s="30"/>
      <c r="U20" s="30"/>
      <c r="V20" s="30"/>
      <c r="W20" s="28"/>
      <c r="X20" s="28"/>
      <c r="Y20" s="28"/>
      <c r="Z20" s="28" t="s">
        <v>25</v>
      </c>
      <c r="AA20" s="28"/>
      <c r="AB20" s="52">
        <v>10</v>
      </c>
      <c r="AC20" s="11">
        <v>4400</v>
      </c>
      <c r="AD20" s="8">
        <f t="shared" ref="AD20:AD23" si="1">ROUND(AC20*1.2,-1)</f>
        <v>5280</v>
      </c>
      <c r="AE20" s="21">
        <v>7</v>
      </c>
      <c r="AF20" s="9">
        <v>54</v>
      </c>
      <c r="AG20" s="22"/>
      <c r="AH20" s="23">
        <v>75</v>
      </c>
      <c r="AI20" s="10" t="s">
        <v>39</v>
      </c>
      <c r="AJ20" s="31"/>
      <c r="AK20" s="31"/>
    </row>
    <row r="21" spans="1:39" ht="13.7" customHeight="1" x14ac:dyDescent="0.15">
      <c r="A21" s="30" t="s">
        <v>21</v>
      </c>
      <c r="B21" s="30"/>
      <c r="C21" s="30"/>
      <c r="D21" s="30"/>
      <c r="E21" s="30"/>
      <c r="F21" s="30"/>
      <c r="G21" s="30"/>
      <c r="H21" s="30" t="s">
        <v>22</v>
      </c>
      <c r="I21" s="30"/>
      <c r="J21" s="30"/>
      <c r="K21" s="30"/>
      <c r="L21" s="30"/>
      <c r="M21" s="30"/>
      <c r="N21" s="30"/>
      <c r="O21" s="30"/>
      <c r="P21" s="30" t="s">
        <v>40</v>
      </c>
      <c r="Q21" s="30"/>
      <c r="R21" s="30"/>
      <c r="S21" s="30" t="s">
        <v>24</v>
      </c>
      <c r="T21" s="30"/>
      <c r="U21" s="30"/>
      <c r="V21" s="30"/>
      <c r="W21" s="28"/>
      <c r="X21" s="28"/>
      <c r="Y21" s="28"/>
      <c r="Z21" s="28" t="s">
        <v>25</v>
      </c>
      <c r="AA21" s="28"/>
      <c r="AB21" s="52">
        <v>5</v>
      </c>
      <c r="AC21" s="11">
        <v>4960</v>
      </c>
      <c r="AD21" s="8">
        <f t="shared" si="1"/>
        <v>5950</v>
      </c>
      <c r="AE21" s="21">
        <v>7</v>
      </c>
      <c r="AF21" s="9">
        <v>64</v>
      </c>
      <c r="AG21" s="22"/>
      <c r="AH21" s="23">
        <v>75</v>
      </c>
      <c r="AI21" s="10" t="s">
        <v>41</v>
      </c>
      <c r="AJ21" s="31"/>
      <c r="AK21" s="31"/>
    </row>
    <row r="22" spans="1:39" ht="13.7" customHeight="1" x14ac:dyDescent="0.15">
      <c r="A22" s="30" t="s">
        <v>21</v>
      </c>
      <c r="B22" s="30"/>
      <c r="C22" s="30"/>
      <c r="D22" s="30"/>
      <c r="E22" s="30"/>
      <c r="F22" s="30"/>
      <c r="G22" s="30"/>
      <c r="H22" s="30" t="s">
        <v>22</v>
      </c>
      <c r="I22" s="30"/>
      <c r="J22" s="30"/>
      <c r="K22" s="30"/>
      <c r="L22" s="30"/>
      <c r="M22" s="30"/>
      <c r="N22" s="30"/>
      <c r="O22" s="30"/>
      <c r="P22" s="30" t="s">
        <v>42</v>
      </c>
      <c r="Q22" s="30"/>
      <c r="R22" s="30"/>
      <c r="S22" s="30" t="s">
        <v>24</v>
      </c>
      <c r="T22" s="30"/>
      <c r="U22" s="30"/>
      <c r="V22" s="30"/>
      <c r="W22" s="28"/>
      <c r="X22" s="28"/>
      <c r="Y22" s="28"/>
      <c r="Z22" s="28" t="s">
        <v>25</v>
      </c>
      <c r="AA22" s="28"/>
      <c r="AB22" s="52">
        <v>5</v>
      </c>
      <c r="AC22" s="11">
        <v>6470</v>
      </c>
      <c r="AD22" s="8">
        <f t="shared" si="1"/>
        <v>7760</v>
      </c>
      <c r="AE22" s="21">
        <v>7</v>
      </c>
      <c r="AF22" s="9">
        <v>87</v>
      </c>
      <c r="AG22" s="22"/>
      <c r="AH22" s="23">
        <v>90</v>
      </c>
      <c r="AI22" s="10" t="s">
        <v>43</v>
      </c>
      <c r="AJ22" s="31"/>
      <c r="AK22" s="31"/>
    </row>
    <row r="23" spans="1:39" ht="13.7" customHeight="1" x14ac:dyDescent="0.15">
      <c r="A23" s="30" t="s">
        <v>21</v>
      </c>
      <c r="B23" s="30"/>
      <c r="C23" s="30"/>
      <c r="D23" s="30"/>
      <c r="E23" s="30"/>
      <c r="F23" s="30"/>
      <c r="G23" s="30"/>
      <c r="H23" s="30" t="s">
        <v>22</v>
      </c>
      <c r="I23" s="30"/>
      <c r="J23" s="30"/>
      <c r="K23" s="30"/>
      <c r="L23" s="30"/>
      <c r="M23" s="30"/>
      <c r="N23" s="30"/>
      <c r="O23" s="30"/>
      <c r="P23" s="30" t="s">
        <v>44</v>
      </c>
      <c r="Q23" s="30"/>
      <c r="R23" s="30"/>
      <c r="S23" s="30" t="s">
        <v>24</v>
      </c>
      <c r="T23" s="30"/>
      <c r="U23" s="30"/>
      <c r="V23" s="30"/>
      <c r="W23" s="28"/>
      <c r="X23" s="28"/>
      <c r="Y23" s="28"/>
      <c r="Z23" s="28" t="s">
        <v>25</v>
      </c>
      <c r="AA23" s="28"/>
      <c r="AB23" s="52">
        <v>5</v>
      </c>
      <c r="AC23" s="11">
        <v>8210</v>
      </c>
      <c r="AD23" s="8">
        <f t="shared" si="1"/>
        <v>9850</v>
      </c>
      <c r="AE23" s="21">
        <v>7</v>
      </c>
      <c r="AF23" s="9">
        <v>135</v>
      </c>
      <c r="AG23" s="22"/>
      <c r="AH23" s="23">
        <v>90</v>
      </c>
      <c r="AI23" s="10" t="s">
        <v>45</v>
      </c>
      <c r="AJ23" s="31"/>
      <c r="AK23" s="31"/>
    </row>
    <row r="24" spans="1:39" ht="13.7" customHeight="1" x14ac:dyDescent="0.15">
      <c r="A24" s="30" t="s">
        <v>21</v>
      </c>
      <c r="B24" s="30"/>
      <c r="C24" s="30"/>
      <c r="D24" s="30"/>
      <c r="E24" s="30"/>
      <c r="F24" s="30"/>
      <c r="G24" s="30"/>
      <c r="H24" s="30" t="s">
        <v>22</v>
      </c>
      <c r="I24" s="30"/>
      <c r="J24" s="30"/>
      <c r="K24" s="30"/>
      <c r="L24" s="30"/>
      <c r="M24" s="30"/>
      <c r="N24" s="30"/>
      <c r="O24" s="30"/>
      <c r="P24" s="30" t="s">
        <v>46</v>
      </c>
      <c r="Q24" s="30"/>
      <c r="R24" s="30"/>
      <c r="S24" s="30" t="s">
        <v>24</v>
      </c>
      <c r="T24" s="30"/>
      <c r="U24" s="30"/>
      <c r="V24" s="30"/>
      <c r="W24" s="28"/>
      <c r="X24" s="28"/>
      <c r="Y24" s="28"/>
      <c r="Z24" s="28" t="s">
        <v>25</v>
      </c>
      <c r="AA24" s="28"/>
      <c r="AB24" s="52">
        <v>2</v>
      </c>
      <c r="AC24" s="11">
        <v>9800</v>
      </c>
      <c r="AD24" s="8">
        <f t="shared" ref="AD24:AD30" si="2">ROUND(AC24*1.1,-1)</f>
        <v>10780</v>
      </c>
      <c r="AE24" s="21">
        <v>5</v>
      </c>
      <c r="AF24" s="13">
        <v>175</v>
      </c>
      <c r="AG24" s="24"/>
      <c r="AH24" s="25">
        <v>105</v>
      </c>
      <c r="AI24" s="12" t="s">
        <v>47</v>
      </c>
      <c r="AJ24" s="31"/>
      <c r="AK24" s="31"/>
    </row>
    <row r="25" spans="1:39" ht="13.7" customHeight="1" x14ac:dyDescent="0.15">
      <c r="A25" s="30" t="s">
        <v>21</v>
      </c>
      <c r="B25" s="30"/>
      <c r="C25" s="30"/>
      <c r="D25" s="30"/>
      <c r="E25" s="30"/>
      <c r="F25" s="30"/>
      <c r="G25" s="30"/>
      <c r="H25" s="30" t="s">
        <v>22</v>
      </c>
      <c r="I25" s="30"/>
      <c r="J25" s="30"/>
      <c r="K25" s="30"/>
      <c r="L25" s="30"/>
      <c r="M25" s="30"/>
      <c r="N25" s="30"/>
      <c r="O25" s="30"/>
      <c r="P25" s="30" t="s">
        <v>48</v>
      </c>
      <c r="Q25" s="30"/>
      <c r="R25" s="30"/>
      <c r="S25" s="30" t="s">
        <v>24</v>
      </c>
      <c r="T25" s="30"/>
      <c r="U25" s="30"/>
      <c r="V25" s="30"/>
      <c r="W25" s="28"/>
      <c r="X25" s="28"/>
      <c r="Y25" s="28"/>
      <c r="Z25" s="28" t="s">
        <v>25</v>
      </c>
      <c r="AA25" s="28"/>
      <c r="AB25" s="52">
        <v>2</v>
      </c>
      <c r="AC25" s="11">
        <v>15000</v>
      </c>
      <c r="AD25" s="8">
        <f t="shared" si="2"/>
        <v>16500</v>
      </c>
      <c r="AE25" s="21">
        <v>5</v>
      </c>
      <c r="AF25" s="13">
        <v>270</v>
      </c>
      <c r="AG25" s="24"/>
      <c r="AH25" s="25">
        <v>105</v>
      </c>
      <c r="AI25" s="10" t="s">
        <v>49</v>
      </c>
      <c r="AJ25" s="31"/>
      <c r="AK25" s="31"/>
      <c r="AM25" s="14"/>
    </row>
    <row r="26" spans="1:39" ht="13.7" customHeight="1" x14ac:dyDescent="0.15">
      <c r="A26" s="30" t="s">
        <v>21</v>
      </c>
      <c r="B26" s="30"/>
      <c r="C26" s="30"/>
      <c r="D26" s="30"/>
      <c r="E26" s="30"/>
      <c r="F26" s="30"/>
      <c r="G26" s="30"/>
      <c r="H26" s="30" t="s">
        <v>22</v>
      </c>
      <c r="I26" s="30"/>
      <c r="J26" s="30"/>
      <c r="K26" s="30"/>
      <c r="L26" s="30"/>
      <c r="M26" s="30"/>
      <c r="N26" s="30"/>
      <c r="O26" s="30"/>
      <c r="P26" s="30" t="s">
        <v>50</v>
      </c>
      <c r="Q26" s="30"/>
      <c r="R26" s="30"/>
      <c r="S26" s="30" t="s">
        <v>24</v>
      </c>
      <c r="T26" s="30"/>
      <c r="U26" s="30"/>
      <c r="V26" s="30"/>
      <c r="W26" s="28"/>
      <c r="X26" s="28"/>
      <c r="Y26" s="28"/>
      <c r="Z26" s="28" t="s">
        <v>25</v>
      </c>
      <c r="AA26" s="28"/>
      <c r="AB26" s="52">
        <v>2</v>
      </c>
      <c r="AC26" s="11">
        <v>21600</v>
      </c>
      <c r="AD26" s="8">
        <f t="shared" si="2"/>
        <v>23760</v>
      </c>
      <c r="AE26" s="21">
        <v>5</v>
      </c>
      <c r="AF26" s="13">
        <v>300</v>
      </c>
      <c r="AG26" s="24"/>
      <c r="AH26" s="25">
        <v>115</v>
      </c>
      <c r="AI26" s="12" t="s">
        <v>51</v>
      </c>
      <c r="AJ26" s="31"/>
      <c r="AK26" s="31"/>
      <c r="AM26" s="14"/>
    </row>
    <row r="27" spans="1:39" ht="13.7" customHeight="1" x14ac:dyDescent="0.15">
      <c r="A27" s="30" t="s">
        <v>21</v>
      </c>
      <c r="B27" s="30"/>
      <c r="C27" s="30"/>
      <c r="D27" s="30"/>
      <c r="E27" s="30"/>
      <c r="F27" s="30"/>
      <c r="G27" s="30"/>
      <c r="H27" s="30" t="s">
        <v>22</v>
      </c>
      <c r="I27" s="30"/>
      <c r="J27" s="30"/>
      <c r="K27" s="30"/>
      <c r="L27" s="30"/>
      <c r="M27" s="30"/>
      <c r="N27" s="30"/>
      <c r="O27" s="30"/>
      <c r="P27" s="30" t="s">
        <v>52</v>
      </c>
      <c r="Q27" s="30"/>
      <c r="R27" s="30"/>
      <c r="S27" s="30" t="s">
        <v>24</v>
      </c>
      <c r="T27" s="30"/>
      <c r="U27" s="30"/>
      <c r="V27" s="30"/>
      <c r="W27" s="28"/>
      <c r="X27" s="28"/>
      <c r="Y27" s="28"/>
      <c r="Z27" s="28" t="s">
        <v>25</v>
      </c>
      <c r="AA27" s="28"/>
      <c r="AB27" s="6">
        <v>2</v>
      </c>
      <c r="AC27" s="11">
        <v>38600</v>
      </c>
      <c r="AD27" s="8">
        <f t="shared" si="2"/>
        <v>42460</v>
      </c>
      <c r="AE27" s="21">
        <v>4</v>
      </c>
      <c r="AF27" s="13">
        <v>320</v>
      </c>
      <c r="AG27" s="24"/>
      <c r="AH27" s="25">
        <v>115</v>
      </c>
      <c r="AI27" s="10" t="s">
        <v>53</v>
      </c>
      <c r="AJ27" s="31"/>
      <c r="AK27" s="31"/>
      <c r="AM27" s="14"/>
    </row>
    <row r="28" spans="1:39" ht="13.7" customHeight="1" x14ac:dyDescent="0.15">
      <c r="A28" s="30" t="s">
        <v>21</v>
      </c>
      <c r="B28" s="30"/>
      <c r="C28" s="30"/>
      <c r="D28" s="30"/>
      <c r="E28" s="30"/>
      <c r="F28" s="30"/>
      <c r="G28" s="30"/>
      <c r="H28" s="30" t="s">
        <v>22</v>
      </c>
      <c r="I28" s="30"/>
      <c r="J28" s="30"/>
      <c r="K28" s="30"/>
      <c r="L28" s="30"/>
      <c r="M28" s="30"/>
      <c r="N28" s="30"/>
      <c r="O28" s="30"/>
      <c r="P28" s="30" t="s">
        <v>54</v>
      </c>
      <c r="Q28" s="30"/>
      <c r="R28" s="30"/>
      <c r="S28" s="30" t="s">
        <v>24</v>
      </c>
      <c r="T28" s="30"/>
      <c r="U28" s="30"/>
      <c r="V28" s="30"/>
      <c r="W28" s="28"/>
      <c r="X28" s="28"/>
      <c r="Y28" s="28"/>
      <c r="Z28" s="28" t="s">
        <v>25</v>
      </c>
      <c r="AA28" s="28"/>
      <c r="AB28" s="6">
        <v>2</v>
      </c>
      <c r="AC28" s="11">
        <v>51700</v>
      </c>
      <c r="AD28" s="8">
        <f t="shared" si="2"/>
        <v>56870</v>
      </c>
      <c r="AE28" s="21">
        <v>3</v>
      </c>
      <c r="AF28" s="13">
        <v>350</v>
      </c>
      <c r="AG28" s="24"/>
      <c r="AH28" s="25">
        <v>125</v>
      </c>
      <c r="AI28" s="10" t="s">
        <v>55</v>
      </c>
      <c r="AJ28" s="31"/>
      <c r="AK28" s="31"/>
      <c r="AM28" s="14"/>
    </row>
    <row r="29" spans="1:39" ht="13.7" customHeight="1" x14ac:dyDescent="0.15">
      <c r="A29" s="32" t="s">
        <v>21</v>
      </c>
      <c r="B29" s="32"/>
      <c r="C29" s="32"/>
      <c r="D29" s="32"/>
      <c r="E29" s="32"/>
      <c r="F29" s="32"/>
      <c r="G29" s="32"/>
      <c r="H29" s="30" t="s">
        <v>22</v>
      </c>
      <c r="I29" s="30"/>
      <c r="J29" s="30"/>
      <c r="K29" s="30"/>
      <c r="L29" s="30"/>
      <c r="M29" s="30"/>
      <c r="N29" s="30"/>
      <c r="O29" s="30"/>
      <c r="P29" s="32" t="s">
        <v>56</v>
      </c>
      <c r="Q29" s="32"/>
      <c r="R29" s="32"/>
      <c r="S29" s="30" t="s">
        <v>24</v>
      </c>
      <c r="T29" s="30"/>
      <c r="U29" s="30"/>
      <c r="V29" s="30"/>
      <c r="W29" s="28"/>
      <c r="X29" s="28"/>
      <c r="Y29" s="28"/>
      <c r="Z29" s="28" t="s">
        <v>25</v>
      </c>
      <c r="AA29" s="28"/>
      <c r="AB29" s="6">
        <v>2</v>
      </c>
      <c r="AC29" s="11">
        <v>71000</v>
      </c>
      <c r="AD29" s="15">
        <f t="shared" si="2"/>
        <v>78100</v>
      </c>
      <c r="AE29" s="21">
        <v>3</v>
      </c>
      <c r="AF29" s="13">
        <v>420</v>
      </c>
      <c r="AG29" s="24"/>
      <c r="AH29" s="25">
        <v>125</v>
      </c>
      <c r="AI29" s="16" t="s">
        <v>57</v>
      </c>
      <c r="AJ29" s="31"/>
      <c r="AK29" s="31"/>
      <c r="AM29" s="14"/>
    </row>
    <row r="30" spans="1:39" ht="13.7" customHeight="1" x14ac:dyDescent="0.15">
      <c r="A30" s="30" t="s">
        <v>21</v>
      </c>
      <c r="B30" s="30"/>
      <c r="C30" s="30"/>
      <c r="D30" s="30"/>
      <c r="E30" s="30"/>
      <c r="F30" s="30"/>
      <c r="G30" s="30"/>
      <c r="H30" s="30" t="s">
        <v>22</v>
      </c>
      <c r="I30" s="30"/>
      <c r="J30" s="30"/>
      <c r="K30" s="30"/>
      <c r="L30" s="30"/>
      <c r="M30" s="30"/>
      <c r="N30" s="30"/>
      <c r="O30" s="30"/>
      <c r="P30" s="30" t="s">
        <v>58</v>
      </c>
      <c r="Q30" s="30"/>
      <c r="R30" s="30"/>
      <c r="S30" s="30" t="s">
        <v>24</v>
      </c>
      <c r="T30" s="30"/>
      <c r="U30" s="30"/>
      <c r="V30" s="30"/>
      <c r="W30" s="28"/>
      <c r="X30" s="28"/>
      <c r="Y30" s="28"/>
      <c r="Z30" s="28" t="s">
        <v>25</v>
      </c>
      <c r="AA30" s="28"/>
      <c r="AB30" s="6">
        <v>2</v>
      </c>
      <c r="AC30" s="11">
        <v>105000</v>
      </c>
      <c r="AD30" s="8">
        <f t="shared" si="2"/>
        <v>115500</v>
      </c>
      <c r="AE30" s="21">
        <v>2</v>
      </c>
      <c r="AF30" s="17">
        <v>550</v>
      </c>
      <c r="AG30" s="24"/>
      <c r="AH30" s="25">
        <v>140</v>
      </c>
      <c r="AI30" s="18" t="s">
        <v>59</v>
      </c>
      <c r="AJ30" s="31"/>
      <c r="AK30" s="31"/>
      <c r="AM30" s="14"/>
    </row>
    <row r="31" spans="1:39" ht="20.65" customHeight="1" x14ac:dyDescent="0.15">
      <c r="A31" s="33" t="s">
        <v>60</v>
      </c>
      <c r="B31" s="33"/>
      <c r="C31" s="33"/>
      <c r="D31" s="33"/>
      <c r="E31" s="33"/>
      <c r="F31" s="33"/>
      <c r="G31" s="33"/>
      <c r="H31" s="33"/>
      <c r="I31" s="33"/>
      <c r="J31" s="33"/>
      <c r="K31" s="33"/>
      <c r="L31" s="33"/>
      <c r="M31" s="33"/>
      <c r="N31" s="30" t="s">
        <v>61</v>
      </c>
      <c r="O31" s="30"/>
      <c r="P31" s="30"/>
      <c r="Q31" s="30"/>
      <c r="R31" s="30"/>
      <c r="S31" s="30"/>
      <c r="T31" s="30"/>
      <c r="U31" s="30"/>
      <c r="V31" s="34"/>
      <c r="W31" s="34"/>
      <c r="X31" s="34"/>
      <c r="Y31" s="34"/>
      <c r="Z31" s="30" t="s">
        <v>62</v>
      </c>
      <c r="AA31" s="30"/>
      <c r="AB31" s="30"/>
      <c r="AC31" s="30"/>
      <c r="AD31" s="30"/>
      <c r="AE31" s="30"/>
      <c r="AF31" s="30"/>
      <c r="AG31" s="30"/>
      <c r="AH31" s="30"/>
      <c r="AI31" s="35"/>
      <c r="AJ31" s="35"/>
      <c r="AK31" s="35"/>
      <c r="AM31" s="14"/>
    </row>
    <row r="32" spans="1:39" ht="20.65" customHeight="1" x14ac:dyDescent="0.15">
      <c r="A32" s="36" t="s">
        <v>63</v>
      </c>
      <c r="B32" s="36"/>
      <c r="C32" s="36"/>
      <c r="D32" s="36"/>
      <c r="E32" s="36"/>
      <c r="F32" s="36"/>
      <c r="G32" s="36"/>
      <c r="H32" s="36"/>
      <c r="I32" s="36"/>
      <c r="J32" s="36"/>
      <c r="K32" s="36"/>
      <c r="L32" s="36"/>
      <c r="M32" s="36"/>
      <c r="N32" s="36"/>
      <c r="O32" s="36"/>
      <c r="P32" s="36"/>
      <c r="Q32" s="36"/>
      <c r="R32" s="36"/>
      <c r="S32" s="36"/>
      <c r="T32" s="36"/>
      <c r="U32" s="36"/>
      <c r="V32" s="36"/>
      <c r="W32" s="36"/>
      <c r="X32" s="36"/>
      <c r="Y32" s="36"/>
      <c r="Z32" s="37" t="s">
        <v>64</v>
      </c>
      <c r="AA32" s="37"/>
      <c r="AB32" s="37"/>
      <c r="AC32" s="37"/>
      <c r="AD32" s="37"/>
      <c r="AE32" s="37"/>
      <c r="AF32" s="37"/>
      <c r="AG32" s="37"/>
      <c r="AH32" s="37"/>
      <c r="AI32" s="37"/>
      <c r="AJ32" s="37"/>
      <c r="AK32" s="37"/>
    </row>
    <row r="33" spans="1:56" ht="20.65" customHeight="1" x14ac:dyDescent="0.15">
      <c r="A33" s="38" t="s">
        <v>65</v>
      </c>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40"/>
    </row>
    <row r="34" spans="1:56" ht="2.4500000000000002" customHeight="1" x14ac:dyDescent="0.15"/>
    <row r="35" spans="1:56" ht="30.75" customHeight="1" x14ac:dyDescent="0.15">
      <c r="A35" s="27" t="s">
        <v>66</v>
      </c>
      <c r="B35" s="27"/>
      <c r="C35" s="27"/>
      <c r="D35" s="27"/>
      <c r="E35" s="27"/>
      <c r="F35" s="27"/>
      <c r="G35" s="27"/>
      <c r="H35" s="27"/>
      <c r="I35" s="27"/>
      <c r="J35" s="41" t="s">
        <v>67</v>
      </c>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20"/>
      <c r="AJ35" s="20"/>
      <c r="AK35" s="20"/>
    </row>
    <row r="36" spans="1:56" ht="30.75" customHeight="1" x14ac:dyDescent="0.15">
      <c r="A36" s="27" t="s">
        <v>68</v>
      </c>
      <c r="B36" s="27"/>
      <c r="C36" s="27"/>
      <c r="D36" s="27"/>
      <c r="E36" s="27"/>
      <c r="F36" s="27"/>
      <c r="G36" s="27"/>
      <c r="H36" s="27"/>
      <c r="I36" s="27"/>
      <c r="J36" s="42" t="s">
        <v>69</v>
      </c>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row>
    <row r="37" spans="1:56" ht="17.25" customHeight="1" x14ac:dyDescent="0.15">
      <c r="A37" s="27" t="s">
        <v>70</v>
      </c>
      <c r="B37" s="27"/>
      <c r="C37" s="27"/>
      <c r="D37" s="27"/>
      <c r="E37" s="27"/>
      <c r="F37" s="27"/>
      <c r="G37" s="27"/>
      <c r="H37" s="27"/>
      <c r="I37" s="27"/>
      <c r="J37" s="19"/>
      <c r="K37" s="41" t="s">
        <v>71</v>
      </c>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row>
    <row r="38" spans="1:56" ht="3.75" customHeight="1" x14ac:dyDescent="0.15">
      <c r="A38" s="27" t="s">
        <v>72</v>
      </c>
      <c r="B38" s="27"/>
      <c r="C38" s="27"/>
      <c r="D38" s="27"/>
      <c r="E38" s="27"/>
      <c r="F38" s="27"/>
      <c r="G38" s="27"/>
      <c r="H38" s="27"/>
      <c r="I38" s="27"/>
      <c r="J38" s="27"/>
      <c r="K38" s="27"/>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row>
    <row r="39" spans="1:56" ht="26.25" customHeight="1" x14ac:dyDescent="0.15">
      <c r="A39" s="27"/>
      <c r="B39" s="27"/>
      <c r="C39" s="27"/>
      <c r="D39" s="27"/>
      <c r="E39" s="27"/>
      <c r="F39" s="27"/>
      <c r="G39" s="27"/>
      <c r="H39" s="27"/>
      <c r="I39" s="27"/>
      <c r="J39" s="27"/>
      <c r="K39" s="27"/>
      <c r="L39" s="41" t="s">
        <v>73</v>
      </c>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row>
    <row r="40" spans="1:56" ht="10.15" customHeight="1" x14ac:dyDescent="0.15">
      <c r="A40" s="27" t="s">
        <v>74</v>
      </c>
      <c r="B40" s="27"/>
      <c r="C40" s="27"/>
      <c r="D40" s="27"/>
      <c r="E40" s="41" t="s">
        <v>75</v>
      </c>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19"/>
      <c r="AJ40" s="19"/>
    </row>
    <row r="41" spans="1:56" ht="29.25" customHeight="1" x14ac:dyDescent="0.15">
      <c r="A41" s="27"/>
      <c r="B41" s="27"/>
      <c r="C41" s="27"/>
      <c r="D41" s="27"/>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19"/>
      <c r="AJ41" s="19"/>
    </row>
    <row r="42" spans="1:56" ht="10.35" customHeight="1" x14ac:dyDescent="0.15">
      <c r="A42" s="27"/>
      <c r="B42" s="27"/>
      <c r="C42" s="27"/>
      <c r="D42" s="27"/>
      <c r="E42" s="41"/>
      <c r="F42" s="41"/>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19"/>
      <c r="AJ42" s="19"/>
    </row>
    <row r="43" spans="1:56" ht="1.1499999999999999" customHeight="1" x14ac:dyDescent="0.15"/>
    <row r="44" spans="1:56" ht="19.5" customHeight="1" x14ac:dyDescent="0.15">
      <c r="A44" s="27" t="s">
        <v>76</v>
      </c>
      <c r="B44" s="27"/>
      <c r="C44" s="27"/>
      <c r="D44" s="27"/>
      <c r="E44" s="27"/>
      <c r="F44" s="27"/>
      <c r="G44" s="27"/>
      <c r="H44" s="27"/>
      <c r="I44" s="27"/>
      <c r="J44" s="27"/>
      <c r="K44" s="27"/>
      <c r="L44" s="43" t="s">
        <v>77</v>
      </c>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row>
    <row r="45" spans="1:56" ht="18" customHeight="1" x14ac:dyDescent="0.15">
      <c r="A45" s="44" t="s">
        <v>78</v>
      </c>
      <c r="B45" s="44"/>
      <c r="C45" s="44"/>
      <c r="D45" s="1"/>
      <c r="E45" s="1"/>
      <c r="F45" s="45" t="s">
        <v>103</v>
      </c>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row>
    <row r="46" spans="1:56" ht="18" customHeight="1" x14ac:dyDescent="0.15">
      <c r="A46" s="47" t="s">
        <v>79</v>
      </c>
      <c r="B46" s="47"/>
      <c r="C46" s="47"/>
      <c r="D46" s="47"/>
      <c r="E46" s="47"/>
      <c r="F46" s="47"/>
      <c r="G46" s="47"/>
      <c r="H46" s="47"/>
      <c r="I46" s="47"/>
      <c r="J46" s="47"/>
      <c r="K46" s="47"/>
      <c r="L46" s="47"/>
      <c r="M46" s="47"/>
      <c r="N46" s="47"/>
      <c r="O46" s="47"/>
      <c r="P46" s="47"/>
      <c r="Q46" s="47"/>
      <c r="R46" s="47"/>
      <c r="S46" s="47"/>
      <c r="T46" s="47"/>
      <c r="U46" s="47"/>
      <c r="V46" s="47"/>
      <c r="W46" s="47"/>
      <c r="X46" s="47"/>
      <c r="Y46" s="47"/>
      <c r="Z46" s="47" t="s">
        <v>80</v>
      </c>
      <c r="AA46" s="47"/>
      <c r="AB46" s="47"/>
      <c r="AC46" s="47"/>
      <c r="AD46" s="47"/>
      <c r="AE46" s="47"/>
      <c r="AF46" s="47"/>
      <c r="AG46" s="47"/>
      <c r="AH46" s="47"/>
      <c r="AI46" s="47"/>
      <c r="AJ46" s="47"/>
      <c r="AK46" s="47"/>
    </row>
    <row r="47" spans="1:56" ht="18" customHeight="1" x14ac:dyDescent="0.15">
      <c r="A47" s="46" t="s">
        <v>81</v>
      </c>
      <c r="B47" s="46"/>
      <c r="C47" s="46"/>
      <c r="D47" s="46"/>
      <c r="E47" s="46"/>
      <c r="F47" s="46"/>
      <c r="G47" s="46"/>
      <c r="H47" s="46"/>
      <c r="I47" s="46"/>
      <c r="J47" s="46"/>
      <c r="K47" s="46"/>
      <c r="L47" s="46"/>
      <c r="M47" s="46"/>
      <c r="N47" s="46"/>
      <c r="O47" s="46"/>
      <c r="P47" s="46"/>
      <c r="Q47" s="46"/>
      <c r="R47" s="46"/>
      <c r="S47" s="46"/>
      <c r="T47" s="46"/>
      <c r="U47" s="46"/>
      <c r="V47" s="46"/>
      <c r="W47" s="46"/>
      <c r="X47" s="46"/>
      <c r="Y47" s="46"/>
      <c r="Z47" s="46" t="s">
        <v>82</v>
      </c>
      <c r="AA47" s="46"/>
      <c r="AB47" s="46"/>
      <c r="AC47" s="46"/>
      <c r="AD47" s="46"/>
      <c r="AE47" s="46"/>
      <c r="AF47" s="46"/>
      <c r="AG47" s="46"/>
      <c r="AH47" s="46"/>
      <c r="AI47" s="46"/>
      <c r="AJ47" s="46"/>
      <c r="AK47" s="46"/>
    </row>
    <row r="48" spans="1:56" ht="18" customHeight="1" x14ac:dyDescent="0.15">
      <c r="A48" s="46" t="s">
        <v>83</v>
      </c>
      <c r="B48" s="46"/>
      <c r="C48" s="46"/>
      <c r="D48" s="46"/>
      <c r="E48" s="46"/>
      <c r="F48" s="46"/>
      <c r="G48" s="46"/>
      <c r="H48" s="46"/>
      <c r="I48" s="46"/>
      <c r="J48" s="46"/>
      <c r="K48" s="46"/>
      <c r="L48" s="46"/>
      <c r="M48" s="46"/>
      <c r="N48" s="46"/>
      <c r="O48" s="46"/>
      <c r="P48" s="46"/>
      <c r="Q48" s="46"/>
      <c r="R48" s="46"/>
      <c r="S48" s="46"/>
      <c r="T48" s="46"/>
      <c r="U48" s="46"/>
      <c r="V48" s="46"/>
      <c r="W48" s="46"/>
      <c r="X48" s="46"/>
      <c r="Y48" s="46"/>
      <c r="Z48" s="46" t="s">
        <v>84</v>
      </c>
      <c r="AA48" s="46"/>
      <c r="AB48" s="46"/>
      <c r="AC48" s="46"/>
      <c r="AD48" s="46"/>
      <c r="AE48" s="46"/>
      <c r="AF48" s="46"/>
      <c r="AG48" s="46"/>
      <c r="AH48" s="46"/>
      <c r="AI48" s="46"/>
      <c r="AJ48" s="46"/>
      <c r="AK48" s="46"/>
    </row>
    <row r="49" spans="1:37" ht="18" customHeight="1" x14ac:dyDescent="0.15">
      <c r="A49" s="47" t="s">
        <v>85</v>
      </c>
      <c r="B49" s="47"/>
      <c r="C49" s="47"/>
      <c r="D49" s="47"/>
      <c r="E49" s="47"/>
      <c r="F49" s="47"/>
      <c r="G49" s="47"/>
      <c r="H49" s="47"/>
      <c r="I49" s="47"/>
      <c r="J49" s="47"/>
      <c r="K49" s="47"/>
      <c r="L49" s="47"/>
      <c r="M49" s="47"/>
      <c r="N49" s="47"/>
      <c r="O49" s="47"/>
      <c r="P49" s="47"/>
      <c r="Q49" s="47"/>
      <c r="R49" s="47"/>
      <c r="S49" s="47"/>
      <c r="T49" s="47"/>
      <c r="U49" s="47"/>
      <c r="V49" s="47"/>
      <c r="W49" s="47"/>
      <c r="X49" s="47"/>
      <c r="Y49" s="47"/>
      <c r="Z49" s="47" t="s">
        <v>86</v>
      </c>
      <c r="AA49" s="47"/>
      <c r="AB49" s="47"/>
      <c r="AC49" s="47"/>
      <c r="AD49" s="47"/>
      <c r="AE49" s="47"/>
      <c r="AF49" s="47"/>
      <c r="AG49" s="47"/>
      <c r="AH49" s="47"/>
      <c r="AI49" s="47"/>
      <c r="AJ49" s="47"/>
      <c r="AK49" s="47"/>
    </row>
    <row r="50" spans="1:37" ht="21" customHeight="1" x14ac:dyDescent="0.15">
      <c r="A50" s="47" t="s">
        <v>87</v>
      </c>
      <c r="B50" s="47"/>
      <c r="C50" s="47"/>
      <c r="D50" s="47"/>
      <c r="E50" s="47"/>
      <c r="F50" s="47"/>
      <c r="G50" s="47"/>
      <c r="H50" s="47"/>
      <c r="I50" s="47"/>
      <c r="J50" s="47"/>
      <c r="K50" s="47"/>
      <c r="L50" s="47"/>
      <c r="M50" s="47"/>
      <c r="N50" s="47"/>
      <c r="O50" s="47"/>
      <c r="P50" s="47"/>
      <c r="Q50" s="47"/>
      <c r="R50" s="47"/>
      <c r="S50" s="47" t="s">
        <v>88</v>
      </c>
      <c r="T50" s="47"/>
      <c r="U50" s="47"/>
      <c r="V50" s="47"/>
      <c r="W50" s="47"/>
      <c r="X50" s="47"/>
      <c r="Y50" s="47"/>
      <c r="Z50" s="47" t="s">
        <v>89</v>
      </c>
      <c r="AA50" s="47"/>
      <c r="AB50" s="47"/>
      <c r="AC50" s="47"/>
      <c r="AD50" s="47"/>
      <c r="AE50" s="47"/>
      <c r="AF50" s="47"/>
      <c r="AG50" s="47"/>
      <c r="AH50" s="47"/>
      <c r="AI50" s="47"/>
      <c r="AJ50" s="47"/>
      <c r="AK50" s="47"/>
    </row>
    <row r="51" spans="1:37" ht="18" customHeight="1" x14ac:dyDescent="0.15">
      <c r="A51" s="47" t="s">
        <v>90</v>
      </c>
      <c r="B51" s="47"/>
      <c r="C51" s="47"/>
      <c r="D51" s="47"/>
      <c r="E51" s="47"/>
      <c r="F51" s="47"/>
      <c r="G51" s="47"/>
      <c r="H51" s="47"/>
      <c r="I51" s="47"/>
      <c r="J51" s="47"/>
      <c r="K51" s="47"/>
      <c r="L51" s="47"/>
      <c r="M51" s="47"/>
      <c r="N51" s="47"/>
      <c r="O51" s="47"/>
      <c r="P51" s="47"/>
      <c r="Q51" s="47"/>
      <c r="R51" s="47"/>
      <c r="S51" s="47"/>
      <c r="T51" s="47"/>
      <c r="U51" s="47"/>
      <c r="V51" s="47"/>
      <c r="W51" s="47"/>
      <c r="X51" s="47"/>
      <c r="Y51" s="47"/>
      <c r="Z51" s="47" t="s">
        <v>91</v>
      </c>
      <c r="AA51" s="47"/>
      <c r="AB51" s="47"/>
      <c r="AC51" s="47"/>
      <c r="AD51" s="47"/>
      <c r="AE51" s="47"/>
      <c r="AF51" s="47"/>
      <c r="AG51" s="47"/>
      <c r="AH51" s="47"/>
      <c r="AI51" s="47"/>
      <c r="AJ51" s="47"/>
      <c r="AK51" s="47"/>
    </row>
    <row r="52" spans="1:37" ht="18" customHeight="1" x14ac:dyDescent="0.15">
      <c r="A52" s="47" t="s">
        <v>92</v>
      </c>
      <c r="B52" s="47"/>
      <c r="C52" s="47"/>
      <c r="D52" s="47"/>
      <c r="E52" s="47"/>
      <c r="F52" s="47"/>
      <c r="G52" s="47"/>
      <c r="H52" s="47"/>
      <c r="I52" s="47"/>
      <c r="J52" s="47"/>
      <c r="K52" s="47"/>
      <c r="L52" s="47"/>
      <c r="M52" s="47"/>
      <c r="N52" s="47"/>
      <c r="O52" s="47"/>
      <c r="P52" s="47"/>
      <c r="Q52" s="47"/>
      <c r="R52" s="47"/>
      <c r="S52" s="47"/>
      <c r="T52" s="47"/>
      <c r="U52" s="47"/>
      <c r="V52" s="47"/>
      <c r="W52" s="47"/>
      <c r="X52" s="47"/>
      <c r="Y52" s="47"/>
      <c r="Z52" s="47" t="s">
        <v>93</v>
      </c>
      <c r="AA52" s="47"/>
      <c r="AB52" s="47"/>
      <c r="AC52" s="47"/>
      <c r="AD52" s="47"/>
      <c r="AE52" s="47"/>
      <c r="AF52" s="47"/>
      <c r="AG52" s="47"/>
      <c r="AH52" s="47"/>
      <c r="AI52" s="47"/>
      <c r="AJ52" s="47"/>
      <c r="AK52" s="47"/>
    </row>
    <row r="53" spans="1:37" ht="18" customHeight="1" x14ac:dyDescent="0.15">
      <c r="A53" s="47" t="s">
        <v>94</v>
      </c>
      <c r="B53" s="47"/>
      <c r="C53" s="47"/>
      <c r="D53" s="47"/>
      <c r="E53" s="47"/>
      <c r="F53" s="47"/>
      <c r="G53" s="47"/>
      <c r="H53" s="47"/>
      <c r="I53" s="47"/>
      <c r="J53" s="47"/>
      <c r="K53" s="47"/>
      <c r="L53" s="47"/>
      <c r="M53" s="47"/>
      <c r="N53" s="47"/>
      <c r="O53" s="47"/>
      <c r="P53" s="47"/>
      <c r="Q53" s="47"/>
      <c r="R53" s="47"/>
      <c r="S53" s="47"/>
      <c r="T53" s="47"/>
      <c r="U53" s="47"/>
      <c r="V53" s="47"/>
      <c r="W53" s="47"/>
      <c r="X53" s="47"/>
      <c r="Y53" s="47"/>
      <c r="Z53" s="47" t="s">
        <v>95</v>
      </c>
      <c r="AA53" s="47"/>
      <c r="AB53" s="47"/>
      <c r="AC53" s="47"/>
      <c r="AD53" s="47"/>
      <c r="AE53" s="47"/>
      <c r="AF53" s="47"/>
      <c r="AG53" s="47"/>
      <c r="AH53" s="47"/>
      <c r="AI53" s="47"/>
      <c r="AJ53" s="47"/>
      <c r="AK53" s="47"/>
    </row>
    <row r="54" spans="1:37" ht="18" customHeight="1" x14ac:dyDescent="0.15">
      <c r="A54" s="47" t="s">
        <v>96</v>
      </c>
      <c r="B54" s="47"/>
      <c r="C54" s="47"/>
      <c r="D54" s="47"/>
      <c r="E54" s="47"/>
      <c r="F54" s="47"/>
      <c r="G54" s="47"/>
      <c r="H54" s="47"/>
      <c r="I54" s="47"/>
      <c r="J54" s="47"/>
      <c r="K54" s="47"/>
      <c r="L54" s="47"/>
      <c r="M54" s="47"/>
      <c r="N54" s="47"/>
      <c r="O54" s="47"/>
      <c r="P54" s="47"/>
      <c r="Q54" s="47"/>
      <c r="R54" s="47"/>
      <c r="S54" s="47"/>
      <c r="T54" s="47"/>
      <c r="U54" s="47"/>
      <c r="V54" s="47"/>
      <c r="W54" s="47"/>
      <c r="X54" s="47"/>
      <c r="Y54" s="47"/>
      <c r="Z54" s="47" t="s">
        <v>97</v>
      </c>
      <c r="AA54" s="47"/>
      <c r="AB54" s="47"/>
      <c r="AC54" s="47"/>
      <c r="AD54" s="47"/>
      <c r="AE54" s="47"/>
      <c r="AF54" s="47"/>
      <c r="AG54" s="47"/>
      <c r="AH54" s="47"/>
      <c r="AI54" s="47"/>
      <c r="AJ54" s="47"/>
      <c r="AK54" s="47"/>
    </row>
    <row r="55" spans="1:37" ht="18" customHeight="1" x14ac:dyDescent="0.15">
      <c r="A55" s="47" t="s">
        <v>98</v>
      </c>
      <c r="B55" s="47"/>
      <c r="C55" s="47"/>
      <c r="D55" s="47"/>
      <c r="E55" s="47"/>
      <c r="F55" s="47"/>
      <c r="G55" s="47"/>
      <c r="H55" s="47"/>
      <c r="I55" s="47"/>
      <c r="J55" s="47"/>
      <c r="K55" s="47"/>
      <c r="L55" s="47"/>
      <c r="M55" s="47"/>
      <c r="N55" s="47"/>
      <c r="O55" s="47"/>
      <c r="P55" s="47"/>
      <c r="Q55" s="47"/>
      <c r="R55" s="47"/>
      <c r="S55" s="47"/>
      <c r="T55" s="47"/>
      <c r="U55" s="47"/>
      <c r="V55" s="47"/>
      <c r="W55" s="47"/>
      <c r="X55" s="47"/>
      <c r="Y55" s="47"/>
      <c r="Z55" s="47" t="s">
        <v>99</v>
      </c>
      <c r="AA55" s="47"/>
      <c r="AB55" s="47"/>
      <c r="AC55" s="47"/>
      <c r="AD55" s="47"/>
      <c r="AE55" s="47"/>
      <c r="AF55" s="47"/>
      <c r="AG55" s="47"/>
      <c r="AH55" s="47"/>
      <c r="AI55" s="47"/>
      <c r="AJ55" s="47"/>
      <c r="AK55" s="47"/>
    </row>
    <row r="56" spans="1:37" ht="18" customHeight="1" x14ac:dyDescent="0.15">
      <c r="A56" s="47" t="s">
        <v>100</v>
      </c>
      <c r="B56" s="47"/>
      <c r="C56" s="47"/>
      <c r="D56" s="47"/>
      <c r="E56" s="47"/>
      <c r="F56" s="47"/>
      <c r="G56" s="47"/>
      <c r="H56" s="47"/>
      <c r="I56" s="47"/>
      <c r="J56" s="47"/>
      <c r="K56" s="47"/>
      <c r="L56" s="47"/>
      <c r="M56" s="47"/>
      <c r="N56" s="47"/>
      <c r="O56" s="47"/>
      <c r="P56" s="47"/>
      <c r="Q56" s="47"/>
      <c r="R56" s="47"/>
      <c r="S56" s="47"/>
      <c r="T56" s="47"/>
      <c r="U56" s="47"/>
      <c r="V56" s="47"/>
      <c r="W56" s="47"/>
      <c r="X56" s="47"/>
      <c r="Y56" s="47"/>
      <c r="Z56" s="47" t="s">
        <v>101</v>
      </c>
      <c r="AA56" s="47"/>
      <c r="AB56" s="47"/>
      <c r="AC56" s="47"/>
      <c r="AD56" s="47"/>
      <c r="AE56" s="47"/>
      <c r="AF56" s="47"/>
      <c r="AG56" s="47"/>
      <c r="AH56" s="47"/>
      <c r="AI56" s="47"/>
      <c r="AJ56" s="47"/>
      <c r="AK56" s="47"/>
    </row>
    <row r="57" spans="1:37" ht="18" customHeight="1" x14ac:dyDescent="0.15">
      <c r="A57" s="48" t="s">
        <v>102</v>
      </c>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c r="AB57" s="48"/>
      <c r="AC57" s="48"/>
      <c r="AD57" s="48"/>
      <c r="AE57" s="48"/>
      <c r="AF57" s="48"/>
    </row>
    <row r="58" spans="1:37" ht="73.900000000000006" customHeight="1" x14ac:dyDescent="0.15"/>
    <row r="59" spans="1:37" ht="13.7" customHeight="1" x14ac:dyDescent="0.15">
      <c r="AE59" s="49"/>
      <c r="AF59" s="49"/>
      <c r="AG59" s="49"/>
    </row>
  </sheetData>
  <mergeCells count="191">
    <mergeCell ref="A56:Y56"/>
    <mergeCell ref="Z56:AK56"/>
    <mergeCell ref="A57:AF57"/>
    <mergeCell ref="AE59:AG59"/>
    <mergeCell ref="A38:K39"/>
    <mergeCell ref="A40:D42"/>
    <mergeCell ref="E40:AH42"/>
    <mergeCell ref="B2:C3"/>
    <mergeCell ref="U3:Z4"/>
    <mergeCell ref="A5:P6"/>
    <mergeCell ref="U5:AB6"/>
    <mergeCell ref="AE5:AG6"/>
    <mergeCell ref="A51:Y51"/>
    <mergeCell ref="Z51:AK51"/>
    <mergeCell ref="A52:Y52"/>
    <mergeCell ref="Z52:AK52"/>
    <mergeCell ref="A53:Y53"/>
    <mergeCell ref="Z53:AK53"/>
    <mergeCell ref="A54:Y54"/>
    <mergeCell ref="Z54:AK54"/>
    <mergeCell ref="A55:Y55"/>
    <mergeCell ref="Z55:AK55"/>
    <mergeCell ref="A46:Y46"/>
    <mergeCell ref="Z46:AK46"/>
    <mergeCell ref="A47:Y47"/>
    <mergeCell ref="Z47:AK47"/>
    <mergeCell ref="A48:Y48"/>
    <mergeCell ref="Z48:AK48"/>
    <mergeCell ref="A49:Y49"/>
    <mergeCell ref="Z49:AK49"/>
    <mergeCell ref="A50:R50"/>
    <mergeCell ref="S50:Y50"/>
    <mergeCell ref="Z50:AK50"/>
    <mergeCell ref="A36:I36"/>
    <mergeCell ref="J36:AJ36"/>
    <mergeCell ref="A37:I37"/>
    <mergeCell ref="K37:AK37"/>
    <mergeCell ref="L39:AH39"/>
    <mergeCell ref="AI39:BD39"/>
    <mergeCell ref="A44:K44"/>
    <mergeCell ref="L44:AK44"/>
    <mergeCell ref="A45:C45"/>
    <mergeCell ref="F45:AK45"/>
    <mergeCell ref="A31:M31"/>
    <mergeCell ref="N31:U31"/>
    <mergeCell ref="V31:Y31"/>
    <mergeCell ref="Z31:AK31"/>
    <mergeCell ref="A32:Y32"/>
    <mergeCell ref="Z32:AK32"/>
    <mergeCell ref="A33:AK33"/>
    <mergeCell ref="A35:I35"/>
    <mergeCell ref="J35:AH35"/>
    <mergeCell ref="A29:G29"/>
    <mergeCell ref="H29:O29"/>
    <mergeCell ref="P29:R29"/>
    <mergeCell ref="S29:V29"/>
    <mergeCell ref="W29:Y29"/>
    <mergeCell ref="Z29:AA29"/>
    <mergeCell ref="AJ29:AK29"/>
    <mergeCell ref="A30:G30"/>
    <mergeCell ref="H30:O30"/>
    <mergeCell ref="P30:R30"/>
    <mergeCell ref="S30:V30"/>
    <mergeCell ref="W30:Y30"/>
    <mergeCell ref="Z30:AA30"/>
    <mergeCell ref="AJ30:AK30"/>
    <mergeCell ref="A27:G27"/>
    <mergeCell ref="H27:O27"/>
    <mergeCell ref="P27:R27"/>
    <mergeCell ref="S27:V27"/>
    <mergeCell ref="W27:Y27"/>
    <mergeCell ref="Z27:AA27"/>
    <mergeCell ref="AJ27:AK27"/>
    <mergeCell ref="A28:G28"/>
    <mergeCell ref="H28:O28"/>
    <mergeCell ref="P28:R28"/>
    <mergeCell ref="S28:V28"/>
    <mergeCell ref="W28:Y28"/>
    <mergeCell ref="Z28:AA28"/>
    <mergeCell ref="AJ28:AK28"/>
    <mergeCell ref="A25:G25"/>
    <mergeCell ref="H25:O25"/>
    <mergeCell ref="P25:R25"/>
    <mergeCell ref="S25:V25"/>
    <mergeCell ref="W25:Y25"/>
    <mergeCell ref="Z25:AA25"/>
    <mergeCell ref="AJ25:AK25"/>
    <mergeCell ref="A26:G26"/>
    <mergeCell ref="H26:O26"/>
    <mergeCell ref="P26:R26"/>
    <mergeCell ref="S26:V26"/>
    <mergeCell ref="W26:Y26"/>
    <mergeCell ref="Z26:AA26"/>
    <mergeCell ref="AJ26:AK26"/>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L2:AH2"/>
    <mergeCell ref="A8:S8"/>
    <mergeCell ref="U8:AB8"/>
    <mergeCell ref="AE8:AG8"/>
    <mergeCell ref="A10:AG10"/>
    <mergeCell ref="A11:Q11"/>
    <mergeCell ref="A12:G12"/>
    <mergeCell ref="H12:O12"/>
    <mergeCell ref="P12:R12"/>
    <mergeCell ref="S12:V12"/>
    <mergeCell ref="W12:Y12"/>
    <mergeCell ref="Z12:AA12"/>
  </mergeCells>
  <phoneticPr fontId="17" type="noConversion"/>
  <pageMargins left="0.7" right="0.7" top="0.75" bottom="0.75" header="0.3" footer="0.3"/>
  <pageSetup paperSize="9" scale="78" orientation="portrait" horizontalDpi="300" verticalDpi="300"/>
  <rowBreaks count="1" manualBreakCount="1">
    <brk id="59"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2026-07-02T02:52:00Z</cp:lastPrinted>
  <dcterms:created xsi:type="dcterms:W3CDTF">2026-04-13T03:31:00Z</dcterms:created>
  <dcterms:modified xsi:type="dcterms:W3CDTF">2026-07-07T06:17:57Z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1BE9F23A30554718B34ABBE0D4FC0414_12</vt:lpwstr>
  </property>
  <property fmtid="{D5CDD505-2E9C-101B-9397-08002B2CF9AE}" pid="3" name="KSOProductBuildVer">
    <vt:lpwstr>2052-12.1.0.26895</vt:lpwstr>
  </property>
  <property fmtid="{D5CDD505-2E9C-101B-9397-08002B2CF9AE}" pid="4" name="CalculationRule">
    <vt:i4>0</vt:i4>
  </property>
</Properties>
</file>